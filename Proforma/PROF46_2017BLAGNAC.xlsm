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028" codeName="{00000000-0000-0000-0000-000000000000}"/>
  <workbookPr showInkAnnotation="0" codeName="ThisWorkbook" hidePivotFieldList="1" autoCompressPictures="0"/>
  <bookViews>
    <workbookView xWindow="2320" yWindow="4420" windowWidth="25600" windowHeight="12900" tabRatio="500" activeTab="4"/>
  </bookViews>
  <sheets>
    <sheet name="Mode d'emploi" sheetId="74" r:id="rId1"/>
    <sheet name="Synthèse" sheetId="70" r:id="rId2"/>
    <sheet name="Extraction" sheetId="7" r:id="rId3"/>
    <sheet name="Codes Barre" sheetId="71" r:id="rId4"/>
    <sheet name="Synthèse Codes Barre" sheetId="73" r:id="rId5"/>
    <sheet name="Couleurs" sheetId="69" r:id="rId6"/>
    <sheet name="Feuil1" sheetId="67" r:id="rId7"/>
    <sheet name="TST TLS" sheetId="76" r:id="rId8"/>
    <sheet name="TST BLA" sheetId="75" r:id="rId9"/>
  </sheets>
  <definedNames>
    <definedName name="debutCodeProduit">Extraction!$C$5</definedName>
    <definedName name="indexPremiereFeuille" localSheetId="7">#REF!</definedName>
    <definedName name="indexPremiereFeuille">#REF!</definedName>
    <definedName name="NomBDCodesBarres">'Codes Barre'!$A$3</definedName>
    <definedName name="prefixeOngletFacture">"Feuille"</definedName>
  </definedNames>
  <calcPr calcId="140000" concurrentCalc="0"/>
  <pivotCaches>
    <pivotCache cacheId="24" r:id="rId10"/>
    <pivotCache cacheId="42" r:id="rId11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4" i="71" l="1"/>
  <c r="K3" i="71"/>
  <c r="K457" i="7"/>
  <c r="J457" i="7"/>
  <c r="E457" i="7"/>
  <c r="K456" i="7"/>
  <c r="J456" i="7"/>
  <c r="E456" i="7"/>
  <c r="K455" i="7"/>
  <c r="J455" i="7"/>
  <c r="E455" i="7"/>
  <c r="K454" i="7"/>
  <c r="J454" i="7"/>
  <c r="E454" i="7"/>
  <c r="K453" i="7"/>
  <c r="J453" i="7"/>
  <c r="E453" i="7"/>
  <c r="K452" i="7"/>
  <c r="J452" i="7"/>
  <c r="E452" i="7"/>
  <c r="K451" i="7"/>
  <c r="J451" i="7"/>
  <c r="E451" i="7"/>
  <c r="K450" i="7"/>
  <c r="J450" i="7"/>
  <c r="E450" i="7"/>
  <c r="K449" i="7"/>
  <c r="J449" i="7"/>
  <c r="E449" i="7"/>
  <c r="K448" i="7"/>
  <c r="J448" i="7"/>
  <c r="E448" i="7"/>
  <c r="K447" i="7"/>
  <c r="J447" i="7"/>
  <c r="E447" i="7"/>
  <c r="K446" i="7"/>
  <c r="J446" i="7"/>
  <c r="E446" i="7"/>
  <c r="K445" i="7"/>
  <c r="J445" i="7"/>
  <c r="E445" i="7"/>
  <c r="K444" i="7"/>
  <c r="J444" i="7"/>
  <c r="E444" i="7"/>
  <c r="K443" i="7"/>
  <c r="J443" i="7"/>
  <c r="E443" i="7"/>
  <c r="K442" i="7"/>
  <c r="J442" i="7"/>
  <c r="E442" i="7"/>
  <c r="K441" i="7"/>
  <c r="J441" i="7"/>
  <c r="E441" i="7"/>
  <c r="K440" i="7"/>
  <c r="J440" i="7"/>
  <c r="E440" i="7"/>
  <c r="K439" i="7"/>
  <c r="J439" i="7"/>
  <c r="E439" i="7"/>
  <c r="K438" i="7"/>
  <c r="J438" i="7"/>
  <c r="E438" i="7"/>
  <c r="K437" i="7"/>
  <c r="J437" i="7"/>
  <c r="E437" i="7"/>
  <c r="K436" i="7"/>
  <c r="J436" i="7"/>
  <c r="E436" i="7"/>
  <c r="K435" i="7"/>
  <c r="J435" i="7"/>
  <c r="E435" i="7"/>
  <c r="K434" i="7"/>
  <c r="J434" i="7"/>
  <c r="E434" i="7"/>
  <c r="K433" i="7"/>
  <c r="J433" i="7"/>
  <c r="E433" i="7"/>
  <c r="K432" i="7"/>
  <c r="J432" i="7"/>
  <c r="E432" i="7"/>
  <c r="K431" i="7"/>
  <c r="J431" i="7"/>
  <c r="E431" i="7"/>
  <c r="K430" i="7"/>
  <c r="J430" i="7"/>
  <c r="E430" i="7"/>
  <c r="K429" i="7"/>
  <c r="J429" i="7"/>
  <c r="E429" i="7"/>
  <c r="K428" i="7"/>
  <c r="J428" i="7"/>
  <c r="E428" i="7"/>
  <c r="K427" i="7"/>
  <c r="J427" i="7"/>
  <c r="E427" i="7"/>
  <c r="K426" i="7"/>
  <c r="J426" i="7"/>
  <c r="E426" i="7"/>
  <c r="K425" i="7"/>
  <c r="J425" i="7"/>
  <c r="E425" i="7"/>
  <c r="K424" i="7"/>
  <c r="J424" i="7"/>
  <c r="E424" i="7"/>
  <c r="K423" i="7"/>
  <c r="J423" i="7"/>
  <c r="E423" i="7"/>
  <c r="K422" i="7"/>
  <c r="J422" i="7"/>
  <c r="E422" i="7"/>
  <c r="K421" i="7"/>
  <c r="J421" i="7"/>
  <c r="E421" i="7"/>
  <c r="K420" i="7"/>
  <c r="J420" i="7"/>
  <c r="E420" i="7"/>
  <c r="K419" i="7"/>
  <c r="J419" i="7"/>
  <c r="E419" i="7"/>
  <c r="K418" i="7"/>
  <c r="J418" i="7"/>
  <c r="E418" i="7"/>
  <c r="K417" i="7"/>
  <c r="J417" i="7"/>
  <c r="E417" i="7"/>
  <c r="K416" i="7"/>
  <c r="J416" i="7"/>
  <c r="E416" i="7"/>
  <c r="K415" i="7"/>
  <c r="J415" i="7"/>
  <c r="E415" i="7"/>
  <c r="K414" i="7"/>
  <c r="J414" i="7"/>
  <c r="E414" i="7"/>
  <c r="K413" i="7"/>
  <c r="J413" i="7"/>
  <c r="E413" i="7"/>
  <c r="K412" i="7"/>
  <c r="J412" i="7"/>
  <c r="E412" i="7"/>
  <c r="K411" i="7"/>
  <c r="J411" i="7"/>
  <c r="E411" i="7"/>
  <c r="K410" i="7"/>
  <c r="J410" i="7"/>
  <c r="E410" i="7"/>
  <c r="K409" i="7"/>
  <c r="J409" i="7"/>
  <c r="E409" i="7"/>
  <c r="K408" i="7"/>
  <c r="J408" i="7"/>
  <c r="E408" i="7"/>
  <c r="K407" i="7"/>
  <c r="J407" i="7"/>
  <c r="E407" i="7"/>
  <c r="K406" i="7"/>
  <c r="J406" i="7"/>
  <c r="E406" i="7"/>
  <c r="K405" i="7"/>
  <c r="J405" i="7"/>
  <c r="E405" i="7"/>
  <c r="K404" i="7"/>
  <c r="J404" i="7"/>
  <c r="E404" i="7"/>
  <c r="K403" i="7"/>
  <c r="J403" i="7"/>
  <c r="E403" i="7"/>
  <c r="K402" i="7"/>
  <c r="J402" i="7"/>
  <c r="E402" i="7"/>
  <c r="K401" i="7"/>
  <c r="J401" i="7"/>
  <c r="E401" i="7"/>
  <c r="K400" i="7"/>
  <c r="J400" i="7"/>
  <c r="E400" i="7"/>
  <c r="K399" i="7"/>
  <c r="J399" i="7"/>
  <c r="E399" i="7"/>
  <c r="K398" i="7"/>
  <c r="J398" i="7"/>
  <c r="E398" i="7"/>
  <c r="K397" i="7"/>
  <c r="J397" i="7"/>
  <c r="E397" i="7"/>
  <c r="K396" i="7"/>
  <c r="J396" i="7"/>
  <c r="E396" i="7"/>
  <c r="K395" i="7"/>
  <c r="J395" i="7"/>
  <c r="E395" i="7"/>
  <c r="K394" i="7"/>
  <c r="J394" i="7"/>
  <c r="E394" i="7"/>
  <c r="K393" i="7"/>
  <c r="J393" i="7"/>
  <c r="E393" i="7"/>
  <c r="K392" i="7"/>
  <c r="J392" i="7"/>
  <c r="E392" i="7"/>
  <c r="K391" i="7"/>
  <c r="J391" i="7"/>
  <c r="E391" i="7"/>
  <c r="K390" i="7"/>
  <c r="J390" i="7"/>
  <c r="E390" i="7"/>
  <c r="K389" i="7"/>
  <c r="J389" i="7"/>
  <c r="E389" i="7"/>
  <c r="K388" i="7"/>
  <c r="J388" i="7"/>
  <c r="E388" i="7"/>
  <c r="K387" i="7"/>
  <c r="J387" i="7"/>
  <c r="E387" i="7"/>
  <c r="K386" i="7"/>
  <c r="J386" i="7"/>
  <c r="E386" i="7"/>
  <c r="K385" i="7"/>
  <c r="J385" i="7"/>
  <c r="E385" i="7"/>
  <c r="K384" i="7"/>
  <c r="J384" i="7"/>
  <c r="E384" i="7"/>
  <c r="K383" i="7"/>
  <c r="J383" i="7"/>
  <c r="E383" i="7"/>
  <c r="K382" i="7"/>
  <c r="J382" i="7"/>
  <c r="E382" i="7"/>
  <c r="K381" i="7"/>
  <c r="J381" i="7"/>
  <c r="E381" i="7"/>
  <c r="K380" i="7"/>
  <c r="J380" i="7"/>
  <c r="E380" i="7"/>
  <c r="K379" i="7"/>
  <c r="J379" i="7"/>
  <c r="E379" i="7"/>
  <c r="K378" i="7"/>
  <c r="J378" i="7"/>
  <c r="E378" i="7"/>
  <c r="K377" i="7"/>
  <c r="J377" i="7"/>
  <c r="E377" i="7"/>
  <c r="K376" i="7"/>
  <c r="J376" i="7"/>
  <c r="E376" i="7"/>
  <c r="K375" i="7"/>
  <c r="J375" i="7"/>
  <c r="E375" i="7"/>
  <c r="K374" i="7"/>
  <c r="J374" i="7"/>
  <c r="E374" i="7"/>
  <c r="K373" i="7"/>
  <c r="J373" i="7"/>
  <c r="E373" i="7"/>
  <c r="K372" i="7"/>
  <c r="J372" i="7"/>
  <c r="E372" i="7"/>
  <c r="K371" i="7"/>
  <c r="J371" i="7"/>
  <c r="E371" i="7"/>
  <c r="K370" i="7"/>
  <c r="J370" i="7"/>
  <c r="E370" i="7"/>
  <c r="K369" i="7"/>
  <c r="J369" i="7"/>
  <c r="E369" i="7"/>
  <c r="K368" i="7"/>
  <c r="J368" i="7"/>
  <c r="E368" i="7"/>
  <c r="K367" i="7"/>
  <c r="J367" i="7"/>
  <c r="E367" i="7"/>
  <c r="K366" i="7"/>
  <c r="J366" i="7"/>
  <c r="E366" i="7"/>
  <c r="K365" i="7"/>
  <c r="J365" i="7"/>
  <c r="E365" i="7"/>
  <c r="K364" i="7"/>
  <c r="J364" i="7"/>
  <c r="E364" i="7"/>
  <c r="K363" i="7"/>
  <c r="J363" i="7"/>
  <c r="E363" i="7"/>
  <c r="K362" i="7"/>
  <c r="J362" i="7"/>
  <c r="E362" i="7"/>
  <c r="K361" i="7"/>
  <c r="J361" i="7"/>
  <c r="E361" i="7"/>
  <c r="K360" i="7"/>
  <c r="J360" i="7"/>
  <c r="E360" i="7"/>
  <c r="K359" i="7"/>
  <c r="J359" i="7"/>
  <c r="E359" i="7"/>
  <c r="K358" i="7"/>
  <c r="J358" i="7"/>
  <c r="E358" i="7"/>
  <c r="K357" i="7"/>
  <c r="J357" i="7"/>
  <c r="E357" i="7"/>
  <c r="K356" i="7"/>
  <c r="J356" i="7"/>
  <c r="E356" i="7"/>
  <c r="K355" i="7"/>
  <c r="J355" i="7"/>
  <c r="E355" i="7"/>
  <c r="K354" i="7"/>
  <c r="J354" i="7"/>
  <c r="E354" i="7"/>
  <c r="K353" i="7"/>
  <c r="J353" i="7"/>
  <c r="E353" i="7"/>
  <c r="K352" i="7"/>
  <c r="J352" i="7"/>
  <c r="E352" i="7"/>
  <c r="K351" i="7"/>
  <c r="J351" i="7"/>
  <c r="E351" i="7"/>
  <c r="K350" i="7"/>
  <c r="J350" i="7"/>
  <c r="E350" i="7"/>
  <c r="K349" i="7"/>
  <c r="J349" i="7"/>
  <c r="E349" i="7"/>
  <c r="K348" i="7"/>
  <c r="J348" i="7"/>
  <c r="E348" i="7"/>
  <c r="K347" i="7"/>
  <c r="J347" i="7"/>
  <c r="E347" i="7"/>
  <c r="K346" i="7"/>
  <c r="J346" i="7"/>
  <c r="E346" i="7"/>
  <c r="K345" i="7"/>
  <c r="J345" i="7"/>
  <c r="E345" i="7"/>
  <c r="K344" i="7"/>
  <c r="J344" i="7"/>
  <c r="E344" i="7"/>
  <c r="K343" i="7"/>
  <c r="J343" i="7"/>
  <c r="E343" i="7"/>
  <c r="K342" i="7"/>
  <c r="J342" i="7"/>
  <c r="E342" i="7"/>
  <c r="K341" i="7"/>
  <c r="J341" i="7"/>
  <c r="E341" i="7"/>
  <c r="K340" i="7"/>
  <c r="J340" i="7"/>
  <c r="E340" i="7"/>
  <c r="K339" i="7"/>
  <c r="J339" i="7"/>
  <c r="E339" i="7"/>
  <c r="K338" i="7"/>
  <c r="J338" i="7"/>
  <c r="E338" i="7"/>
  <c r="K337" i="7"/>
  <c r="J337" i="7"/>
  <c r="E337" i="7"/>
  <c r="K336" i="7"/>
  <c r="J336" i="7"/>
  <c r="E336" i="7"/>
  <c r="K335" i="7"/>
  <c r="J335" i="7"/>
  <c r="E335" i="7"/>
  <c r="K334" i="7"/>
  <c r="J334" i="7"/>
  <c r="E334" i="7"/>
  <c r="K333" i="7"/>
  <c r="J333" i="7"/>
  <c r="E333" i="7"/>
  <c r="K332" i="7"/>
  <c r="J332" i="7"/>
  <c r="E332" i="7"/>
  <c r="K331" i="7"/>
  <c r="J331" i="7"/>
  <c r="E331" i="7"/>
  <c r="K330" i="7"/>
  <c r="J330" i="7"/>
  <c r="E330" i="7"/>
  <c r="K329" i="7"/>
  <c r="J329" i="7"/>
  <c r="E329" i="7"/>
  <c r="K328" i="7"/>
  <c r="J328" i="7"/>
  <c r="E328" i="7"/>
  <c r="K327" i="7"/>
  <c r="J327" i="7"/>
  <c r="E327" i="7"/>
  <c r="K326" i="7"/>
  <c r="J326" i="7"/>
  <c r="E326" i="7"/>
  <c r="K325" i="7"/>
  <c r="J325" i="7"/>
  <c r="E325" i="7"/>
  <c r="K324" i="7"/>
  <c r="J324" i="7"/>
  <c r="E324" i="7"/>
  <c r="K323" i="7"/>
  <c r="J323" i="7"/>
  <c r="E323" i="7"/>
  <c r="K322" i="7"/>
  <c r="J322" i="7"/>
  <c r="E322" i="7"/>
  <c r="K321" i="7"/>
  <c r="J321" i="7"/>
  <c r="E321" i="7"/>
  <c r="K320" i="7"/>
  <c r="J320" i="7"/>
  <c r="E320" i="7"/>
  <c r="K319" i="7"/>
  <c r="J319" i="7"/>
  <c r="E319" i="7"/>
  <c r="K318" i="7"/>
  <c r="J318" i="7"/>
  <c r="E318" i="7"/>
  <c r="K317" i="7"/>
  <c r="J317" i="7"/>
  <c r="E317" i="7"/>
  <c r="K316" i="7"/>
  <c r="J316" i="7"/>
  <c r="E316" i="7"/>
  <c r="K315" i="7"/>
  <c r="J315" i="7"/>
  <c r="E315" i="7"/>
  <c r="K314" i="7"/>
  <c r="J314" i="7"/>
  <c r="E314" i="7"/>
  <c r="K313" i="7"/>
  <c r="J313" i="7"/>
  <c r="E313" i="7"/>
  <c r="K312" i="7"/>
  <c r="J312" i="7"/>
  <c r="E312" i="7"/>
  <c r="K311" i="7"/>
  <c r="J311" i="7"/>
  <c r="E311" i="7"/>
  <c r="K310" i="7"/>
  <c r="J310" i="7"/>
  <c r="E310" i="7"/>
  <c r="K309" i="7"/>
  <c r="J309" i="7"/>
  <c r="E309" i="7"/>
  <c r="K308" i="7"/>
  <c r="J308" i="7"/>
  <c r="E308" i="7"/>
  <c r="K307" i="7"/>
  <c r="J307" i="7"/>
  <c r="E307" i="7"/>
  <c r="K306" i="7"/>
  <c r="J306" i="7"/>
  <c r="E306" i="7"/>
  <c r="K305" i="7"/>
  <c r="J305" i="7"/>
  <c r="E305" i="7"/>
  <c r="K304" i="7"/>
  <c r="J304" i="7"/>
  <c r="E304" i="7"/>
  <c r="K303" i="7"/>
  <c r="J303" i="7"/>
  <c r="E303" i="7"/>
  <c r="K302" i="7"/>
  <c r="J302" i="7"/>
  <c r="E302" i="7"/>
  <c r="K301" i="7"/>
  <c r="J301" i="7"/>
  <c r="E301" i="7"/>
  <c r="K300" i="7"/>
  <c r="J300" i="7"/>
  <c r="E300" i="7"/>
  <c r="K299" i="7"/>
  <c r="J299" i="7"/>
  <c r="E299" i="7"/>
  <c r="K298" i="7"/>
  <c r="J298" i="7"/>
  <c r="E298" i="7"/>
  <c r="K297" i="7"/>
  <c r="J297" i="7"/>
  <c r="E297" i="7"/>
  <c r="K296" i="7"/>
  <c r="J296" i="7"/>
  <c r="E296" i="7"/>
  <c r="K295" i="7"/>
  <c r="J295" i="7"/>
  <c r="E295" i="7"/>
  <c r="K294" i="7"/>
  <c r="J294" i="7"/>
  <c r="E294" i="7"/>
  <c r="K293" i="7"/>
  <c r="J293" i="7"/>
  <c r="E293" i="7"/>
  <c r="K292" i="7"/>
  <c r="J292" i="7"/>
  <c r="E292" i="7"/>
  <c r="K291" i="7"/>
  <c r="J291" i="7"/>
  <c r="E291" i="7"/>
  <c r="K290" i="7"/>
  <c r="J290" i="7"/>
  <c r="E290" i="7"/>
  <c r="K289" i="7"/>
  <c r="J289" i="7"/>
  <c r="E289" i="7"/>
  <c r="K288" i="7"/>
  <c r="J288" i="7"/>
  <c r="E288" i="7"/>
  <c r="K287" i="7"/>
  <c r="J287" i="7"/>
  <c r="E287" i="7"/>
  <c r="K286" i="7"/>
  <c r="J286" i="7"/>
  <c r="E286" i="7"/>
  <c r="K285" i="7"/>
  <c r="J285" i="7"/>
  <c r="E285" i="7"/>
  <c r="K284" i="7"/>
  <c r="J284" i="7"/>
  <c r="E284" i="7"/>
  <c r="K283" i="7"/>
  <c r="J283" i="7"/>
  <c r="E283" i="7"/>
  <c r="K282" i="7"/>
  <c r="J282" i="7"/>
  <c r="E282" i="7"/>
  <c r="K281" i="7"/>
  <c r="J281" i="7"/>
  <c r="E281" i="7"/>
  <c r="K280" i="7"/>
  <c r="J280" i="7"/>
  <c r="E280" i="7"/>
  <c r="K279" i="7"/>
  <c r="J279" i="7"/>
  <c r="E279" i="7"/>
  <c r="K278" i="7"/>
  <c r="J278" i="7"/>
  <c r="E278" i="7"/>
  <c r="K277" i="7"/>
  <c r="J277" i="7"/>
  <c r="E277" i="7"/>
  <c r="K276" i="7"/>
  <c r="J276" i="7"/>
  <c r="E276" i="7"/>
  <c r="K275" i="7"/>
  <c r="J275" i="7"/>
  <c r="E275" i="7"/>
  <c r="K274" i="7"/>
  <c r="J274" i="7"/>
  <c r="E274" i="7"/>
  <c r="K273" i="7"/>
  <c r="J273" i="7"/>
  <c r="E273" i="7"/>
  <c r="K272" i="7"/>
  <c r="J272" i="7"/>
  <c r="E272" i="7"/>
  <c r="K271" i="7"/>
  <c r="J271" i="7"/>
  <c r="E271" i="7"/>
  <c r="K270" i="7"/>
  <c r="J270" i="7"/>
  <c r="E270" i="7"/>
  <c r="K269" i="7"/>
  <c r="J269" i="7"/>
  <c r="E269" i="7"/>
  <c r="K268" i="7"/>
  <c r="J268" i="7"/>
  <c r="E268" i="7"/>
  <c r="K267" i="7"/>
  <c r="J267" i="7"/>
  <c r="E267" i="7"/>
  <c r="K266" i="7"/>
  <c r="J266" i="7"/>
  <c r="E266" i="7"/>
  <c r="K265" i="7"/>
  <c r="J265" i="7"/>
  <c r="E265" i="7"/>
  <c r="K264" i="7"/>
  <c r="J264" i="7"/>
  <c r="E264" i="7"/>
  <c r="K263" i="7"/>
  <c r="J263" i="7"/>
  <c r="E263" i="7"/>
  <c r="K262" i="7"/>
  <c r="J262" i="7"/>
  <c r="E262" i="7"/>
  <c r="K261" i="7"/>
  <c r="J261" i="7"/>
  <c r="E261" i="7"/>
  <c r="K260" i="7"/>
  <c r="J260" i="7"/>
  <c r="E260" i="7"/>
  <c r="K259" i="7"/>
  <c r="J259" i="7"/>
  <c r="E259" i="7"/>
  <c r="K258" i="7"/>
  <c r="J258" i="7"/>
  <c r="E258" i="7"/>
  <c r="K257" i="7"/>
  <c r="J257" i="7"/>
  <c r="E257" i="7"/>
  <c r="K256" i="7"/>
  <c r="J256" i="7"/>
  <c r="E256" i="7"/>
  <c r="K255" i="7"/>
  <c r="J255" i="7"/>
  <c r="E255" i="7"/>
  <c r="K254" i="7"/>
  <c r="J254" i="7"/>
  <c r="E254" i="7"/>
  <c r="K253" i="7"/>
  <c r="J253" i="7"/>
  <c r="E253" i="7"/>
  <c r="K252" i="7"/>
  <c r="J252" i="7"/>
  <c r="E252" i="7"/>
  <c r="K251" i="7"/>
  <c r="J251" i="7"/>
  <c r="E251" i="7"/>
  <c r="K250" i="7"/>
  <c r="J250" i="7"/>
  <c r="E250" i="7"/>
  <c r="K249" i="7"/>
  <c r="J249" i="7"/>
  <c r="E249" i="7"/>
  <c r="K248" i="7"/>
  <c r="J248" i="7"/>
  <c r="E248" i="7"/>
  <c r="K247" i="7"/>
  <c r="J247" i="7"/>
  <c r="E247" i="7"/>
  <c r="K246" i="7"/>
  <c r="J246" i="7"/>
  <c r="E246" i="7"/>
  <c r="K245" i="7"/>
  <c r="J245" i="7"/>
  <c r="E245" i="7"/>
  <c r="K244" i="7"/>
  <c r="J244" i="7"/>
  <c r="E244" i="7"/>
  <c r="K243" i="7"/>
  <c r="J243" i="7"/>
  <c r="E243" i="7"/>
  <c r="K242" i="7"/>
  <c r="J242" i="7"/>
  <c r="E242" i="7"/>
  <c r="K241" i="7"/>
  <c r="J241" i="7"/>
  <c r="E241" i="7"/>
  <c r="K240" i="7"/>
  <c r="J240" i="7"/>
  <c r="E240" i="7"/>
  <c r="K239" i="7"/>
  <c r="J239" i="7"/>
  <c r="E239" i="7"/>
  <c r="K238" i="7"/>
  <c r="J238" i="7"/>
  <c r="E238" i="7"/>
  <c r="K237" i="7"/>
  <c r="J237" i="7"/>
  <c r="E237" i="7"/>
  <c r="K236" i="7"/>
  <c r="J236" i="7"/>
  <c r="E236" i="7"/>
  <c r="K235" i="7"/>
  <c r="J235" i="7"/>
  <c r="E235" i="7"/>
  <c r="K234" i="7"/>
  <c r="J234" i="7"/>
  <c r="E234" i="7"/>
  <c r="K233" i="7"/>
  <c r="J233" i="7"/>
  <c r="E233" i="7"/>
  <c r="K232" i="7"/>
  <c r="J232" i="7"/>
  <c r="E232" i="7"/>
  <c r="K231" i="7"/>
  <c r="J231" i="7"/>
  <c r="E231" i="7"/>
  <c r="K230" i="7"/>
  <c r="J230" i="7"/>
  <c r="E230" i="7"/>
  <c r="K229" i="7"/>
  <c r="J229" i="7"/>
  <c r="E229" i="7"/>
  <c r="K228" i="7"/>
  <c r="J228" i="7"/>
  <c r="E228" i="7"/>
  <c r="K227" i="7"/>
  <c r="J227" i="7"/>
  <c r="E227" i="7"/>
  <c r="K226" i="7"/>
  <c r="J226" i="7"/>
  <c r="E226" i="7"/>
  <c r="K225" i="7"/>
  <c r="J225" i="7"/>
  <c r="E225" i="7"/>
  <c r="K224" i="7"/>
  <c r="J224" i="7"/>
  <c r="E224" i="7"/>
  <c r="K223" i="7"/>
  <c r="J223" i="7"/>
  <c r="E223" i="7"/>
  <c r="K222" i="7"/>
  <c r="J222" i="7"/>
  <c r="E222" i="7"/>
  <c r="K221" i="7"/>
  <c r="J221" i="7"/>
  <c r="E221" i="7"/>
  <c r="K220" i="7"/>
  <c r="J220" i="7"/>
  <c r="E220" i="7"/>
  <c r="K219" i="7"/>
  <c r="J219" i="7"/>
  <c r="E219" i="7"/>
  <c r="K218" i="7"/>
  <c r="J218" i="7"/>
  <c r="E218" i="7"/>
  <c r="K217" i="7"/>
  <c r="J217" i="7"/>
  <c r="E217" i="7"/>
  <c r="K216" i="7"/>
  <c r="J216" i="7"/>
  <c r="E216" i="7"/>
  <c r="K215" i="7"/>
  <c r="J215" i="7"/>
  <c r="E215" i="7"/>
  <c r="K214" i="7"/>
  <c r="J214" i="7"/>
  <c r="E214" i="7"/>
  <c r="K213" i="7"/>
  <c r="J213" i="7"/>
  <c r="E213" i="7"/>
  <c r="K212" i="7"/>
  <c r="J212" i="7"/>
  <c r="E212" i="7"/>
  <c r="K211" i="7"/>
  <c r="J211" i="7"/>
  <c r="E211" i="7"/>
  <c r="K210" i="7"/>
  <c r="J210" i="7"/>
  <c r="E210" i="7"/>
  <c r="K209" i="7"/>
  <c r="J209" i="7"/>
  <c r="E209" i="7"/>
  <c r="K208" i="7"/>
  <c r="J208" i="7"/>
  <c r="E208" i="7"/>
  <c r="K207" i="7"/>
  <c r="J207" i="7"/>
  <c r="E207" i="7"/>
  <c r="K206" i="7"/>
  <c r="J206" i="7"/>
  <c r="E206" i="7"/>
  <c r="K205" i="7"/>
  <c r="J205" i="7"/>
  <c r="E205" i="7"/>
  <c r="K204" i="7"/>
  <c r="J204" i="7"/>
  <c r="E204" i="7"/>
  <c r="K203" i="7"/>
  <c r="J203" i="7"/>
  <c r="E203" i="7"/>
  <c r="K202" i="7"/>
  <c r="J202" i="7"/>
  <c r="E202" i="7"/>
  <c r="K201" i="7"/>
  <c r="J201" i="7"/>
  <c r="E201" i="7"/>
  <c r="K200" i="7"/>
  <c r="J200" i="7"/>
  <c r="E200" i="7"/>
  <c r="K199" i="7"/>
  <c r="J199" i="7"/>
  <c r="E199" i="7"/>
  <c r="K198" i="7"/>
  <c r="J198" i="7"/>
  <c r="E198" i="7"/>
  <c r="K197" i="7"/>
  <c r="J197" i="7"/>
  <c r="E197" i="7"/>
  <c r="K196" i="7"/>
  <c r="J196" i="7"/>
  <c r="E196" i="7"/>
  <c r="K195" i="7"/>
  <c r="J195" i="7"/>
  <c r="E195" i="7"/>
  <c r="K194" i="7"/>
  <c r="J194" i="7"/>
  <c r="E194" i="7"/>
  <c r="K193" i="7"/>
  <c r="J193" i="7"/>
  <c r="E193" i="7"/>
  <c r="K192" i="7"/>
  <c r="J192" i="7"/>
  <c r="E192" i="7"/>
  <c r="K191" i="7"/>
  <c r="J191" i="7"/>
  <c r="E191" i="7"/>
  <c r="K190" i="7"/>
  <c r="J190" i="7"/>
  <c r="E190" i="7"/>
  <c r="K189" i="7"/>
  <c r="J189" i="7"/>
  <c r="E189" i="7"/>
  <c r="K188" i="7"/>
  <c r="J188" i="7"/>
  <c r="E188" i="7"/>
  <c r="K187" i="7"/>
  <c r="J187" i="7"/>
  <c r="E187" i="7"/>
  <c r="K186" i="7"/>
  <c r="J186" i="7"/>
  <c r="E186" i="7"/>
  <c r="K185" i="7"/>
  <c r="J185" i="7"/>
  <c r="E185" i="7"/>
  <c r="K184" i="7"/>
  <c r="J184" i="7"/>
  <c r="E184" i="7"/>
  <c r="K183" i="7"/>
  <c r="J183" i="7"/>
  <c r="E183" i="7"/>
  <c r="K182" i="7"/>
  <c r="J182" i="7"/>
  <c r="E182" i="7"/>
  <c r="K181" i="7"/>
  <c r="J181" i="7"/>
  <c r="E181" i="7"/>
  <c r="K180" i="7"/>
  <c r="J180" i="7"/>
  <c r="E180" i="7"/>
  <c r="K179" i="7"/>
  <c r="J179" i="7"/>
  <c r="E179" i="7"/>
  <c r="K178" i="7"/>
  <c r="J178" i="7"/>
  <c r="E178" i="7"/>
  <c r="K177" i="7"/>
  <c r="J177" i="7"/>
  <c r="E177" i="7"/>
  <c r="K176" i="7"/>
  <c r="J176" i="7"/>
  <c r="E176" i="7"/>
  <c r="K175" i="7"/>
  <c r="J175" i="7"/>
  <c r="E175" i="7"/>
  <c r="K174" i="7"/>
  <c r="J174" i="7"/>
  <c r="E174" i="7"/>
  <c r="K173" i="7"/>
  <c r="J173" i="7"/>
  <c r="E173" i="7"/>
  <c r="K172" i="7"/>
  <c r="J172" i="7"/>
  <c r="E172" i="7"/>
  <c r="K171" i="7"/>
  <c r="J171" i="7"/>
  <c r="E171" i="7"/>
  <c r="K170" i="7"/>
  <c r="J170" i="7"/>
  <c r="E170" i="7"/>
  <c r="K169" i="7"/>
  <c r="J169" i="7"/>
  <c r="E169" i="7"/>
  <c r="K168" i="7"/>
  <c r="J168" i="7"/>
  <c r="E168" i="7"/>
  <c r="K167" i="7"/>
  <c r="J167" i="7"/>
  <c r="E167" i="7"/>
  <c r="K166" i="7"/>
  <c r="J166" i="7"/>
  <c r="E166" i="7"/>
  <c r="K165" i="7"/>
  <c r="J165" i="7"/>
  <c r="E165" i="7"/>
  <c r="K164" i="7"/>
  <c r="J164" i="7"/>
  <c r="E164" i="7"/>
  <c r="K163" i="7"/>
  <c r="J163" i="7"/>
  <c r="E163" i="7"/>
  <c r="K162" i="7"/>
  <c r="J162" i="7"/>
  <c r="E162" i="7"/>
  <c r="K161" i="7"/>
  <c r="J161" i="7"/>
  <c r="E161" i="7"/>
  <c r="K160" i="7"/>
  <c r="J160" i="7"/>
  <c r="E160" i="7"/>
  <c r="K159" i="7"/>
  <c r="J159" i="7"/>
  <c r="E159" i="7"/>
  <c r="K158" i="7"/>
  <c r="J158" i="7"/>
  <c r="E158" i="7"/>
  <c r="K157" i="7"/>
  <c r="J157" i="7"/>
  <c r="E157" i="7"/>
  <c r="K156" i="7"/>
  <c r="J156" i="7"/>
  <c r="E156" i="7"/>
  <c r="K155" i="7"/>
  <c r="J155" i="7"/>
  <c r="E155" i="7"/>
  <c r="K154" i="7"/>
  <c r="J154" i="7"/>
  <c r="E154" i="7"/>
  <c r="K153" i="7"/>
  <c r="J153" i="7"/>
  <c r="E153" i="7"/>
  <c r="K152" i="7"/>
  <c r="J152" i="7"/>
  <c r="E152" i="7"/>
  <c r="K151" i="7"/>
  <c r="J151" i="7"/>
  <c r="E151" i="7"/>
  <c r="K150" i="7"/>
  <c r="J150" i="7"/>
  <c r="E150" i="7"/>
  <c r="K149" i="7"/>
  <c r="J149" i="7"/>
  <c r="E149" i="7"/>
  <c r="K148" i="7"/>
  <c r="J148" i="7"/>
  <c r="E148" i="7"/>
  <c r="K147" i="7"/>
  <c r="J147" i="7"/>
  <c r="E147" i="7"/>
  <c r="K146" i="7"/>
  <c r="J146" i="7"/>
  <c r="E146" i="7"/>
  <c r="K145" i="7"/>
  <c r="J145" i="7"/>
  <c r="E145" i="7"/>
  <c r="K144" i="7"/>
  <c r="J144" i="7"/>
  <c r="E144" i="7"/>
  <c r="K143" i="7"/>
  <c r="J143" i="7"/>
  <c r="E143" i="7"/>
  <c r="K142" i="7"/>
  <c r="J142" i="7"/>
  <c r="E142" i="7"/>
  <c r="K141" i="7"/>
  <c r="J141" i="7"/>
  <c r="E141" i="7"/>
  <c r="K140" i="7"/>
  <c r="J140" i="7"/>
  <c r="E140" i="7"/>
  <c r="K139" i="7"/>
  <c r="J139" i="7"/>
  <c r="E139" i="7"/>
  <c r="K138" i="7"/>
  <c r="J138" i="7"/>
  <c r="E138" i="7"/>
  <c r="K137" i="7"/>
  <c r="J137" i="7"/>
  <c r="E137" i="7"/>
  <c r="K136" i="7"/>
  <c r="J136" i="7"/>
  <c r="E136" i="7"/>
  <c r="K135" i="7"/>
  <c r="J135" i="7"/>
  <c r="E135" i="7"/>
  <c r="K134" i="7"/>
  <c r="J134" i="7"/>
  <c r="E134" i="7"/>
  <c r="K133" i="7"/>
  <c r="J133" i="7"/>
  <c r="E133" i="7"/>
  <c r="K132" i="7"/>
  <c r="J132" i="7"/>
  <c r="E132" i="7"/>
  <c r="K131" i="7"/>
  <c r="J131" i="7"/>
  <c r="E131" i="7"/>
  <c r="K130" i="7"/>
  <c r="J130" i="7"/>
  <c r="E130" i="7"/>
  <c r="K129" i="7"/>
  <c r="J129" i="7"/>
  <c r="E129" i="7"/>
  <c r="K128" i="7"/>
  <c r="J128" i="7"/>
  <c r="E128" i="7"/>
  <c r="K127" i="7"/>
  <c r="J127" i="7"/>
  <c r="E127" i="7"/>
  <c r="K126" i="7"/>
  <c r="J126" i="7"/>
  <c r="E126" i="7"/>
  <c r="K125" i="7"/>
  <c r="J125" i="7"/>
  <c r="E125" i="7"/>
  <c r="K124" i="7"/>
  <c r="J124" i="7"/>
  <c r="E124" i="7"/>
  <c r="K123" i="7"/>
  <c r="J123" i="7"/>
  <c r="E123" i="7"/>
  <c r="K122" i="7"/>
  <c r="J122" i="7"/>
  <c r="E122" i="7"/>
  <c r="K121" i="7"/>
  <c r="J121" i="7"/>
  <c r="E121" i="7"/>
  <c r="K120" i="7"/>
  <c r="J120" i="7"/>
  <c r="E120" i="7"/>
  <c r="K119" i="7"/>
  <c r="J119" i="7"/>
  <c r="E119" i="7"/>
  <c r="K118" i="7"/>
  <c r="J118" i="7"/>
  <c r="E118" i="7"/>
  <c r="K117" i="7"/>
  <c r="J117" i="7"/>
  <c r="E117" i="7"/>
  <c r="K116" i="7"/>
  <c r="J116" i="7"/>
  <c r="E116" i="7"/>
  <c r="K115" i="7"/>
  <c r="J115" i="7"/>
  <c r="E115" i="7"/>
  <c r="K114" i="7"/>
  <c r="J114" i="7"/>
  <c r="E114" i="7"/>
  <c r="K113" i="7"/>
  <c r="J113" i="7"/>
  <c r="E113" i="7"/>
  <c r="K112" i="7"/>
  <c r="J112" i="7"/>
  <c r="E112" i="7"/>
  <c r="K111" i="7"/>
  <c r="J111" i="7"/>
  <c r="E111" i="7"/>
  <c r="K110" i="7"/>
  <c r="J110" i="7"/>
  <c r="E110" i="7"/>
  <c r="K109" i="7"/>
  <c r="J109" i="7"/>
  <c r="E109" i="7"/>
  <c r="K108" i="7"/>
  <c r="J108" i="7"/>
  <c r="E108" i="7"/>
  <c r="K107" i="7"/>
  <c r="J107" i="7"/>
  <c r="E107" i="7"/>
  <c r="K106" i="7"/>
  <c r="J106" i="7"/>
  <c r="E106" i="7"/>
  <c r="K105" i="7"/>
  <c r="J105" i="7"/>
  <c r="E105" i="7"/>
  <c r="K104" i="7"/>
  <c r="J104" i="7"/>
  <c r="E104" i="7"/>
  <c r="K103" i="7"/>
  <c r="J103" i="7"/>
  <c r="E103" i="7"/>
  <c r="K102" i="7"/>
  <c r="J102" i="7"/>
  <c r="E102" i="7"/>
  <c r="K101" i="7"/>
  <c r="J101" i="7"/>
  <c r="E101" i="7"/>
  <c r="K100" i="7"/>
  <c r="J100" i="7"/>
  <c r="E100" i="7"/>
  <c r="K99" i="7"/>
  <c r="J99" i="7"/>
  <c r="E99" i="7"/>
  <c r="K98" i="7"/>
  <c r="J98" i="7"/>
  <c r="E98" i="7"/>
  <c r="K97" i="7"/>
  <c r="J97" i="7"/>
  <c r="E97" i="7"/>
  <c r="K96" i="7"/>
  <c r="J96" i="7"/>
  <c r="E96" i="7"/>
  <c r="K95" i="7"/>
  <c r="J95" i="7"/>
  <c r="E95" i="7"/>
  <c r="K94" i="7"/>
  <c r="J94" i="7"/>
  <c r="E94" i="7"/>
  <c r="K93" i="7"/>
  <c r="J93" i="7"/>
  <c r="E93" i="7"/>
  <c r="K92" i="7"/>
  <c r="J92" i="7"/>
  <c r="E92" i="7"/>
  <c r="K91" i="7"/>
  <c r="J91" i="7"/>
  <c r="E91" i="7"/>
  <c r="K90" i="7"/>
  <c r="J90" i="7"/>
  <c r="E90" i="7"/>
  <c r="K89" i="7"/>
  <c r="J89" i="7"/>
  <c r="E89" i="7"/>
  <c r="K88" i="7"/>
  <c r="J88" i="7"/>
  <c r="E88" i="7"/>
  <c r="K87" i="7"/>
  <c r="J87" i="7"/>
  <c r="E87" i="7"/>
  <c r="K86" i="7"/>
  <c r="J86" i="7"/>
  <c r="E86" i="7"/>
  <c r="K85" i="7"/>
  <c r="J85" i="7"/>
  <c r="E85" i="7"/>
  <c r="K84" i="7"/>
  <c r="J84" i="7"/>
  <c r="E84" i="7"/>
  <c r="K83" i="7"/>
  <c r="J83" i="7"/>
  <c r="E83" i="7"/>
  <c r="K82" i="7"/>
  <c r="J82" i="7"/>
  <c r="E82" i="7"/>
  <c r="K81" i="7"/>
  <c r="J81" i="7"/>
  <c r="E81" i="7"/>
  <c r="K80" i="7"/>
  <c r="J80" i="7"/>
  <c r="E80" i="7"/>
  <c r="K79" i="7"/>
  <c r="J79" i="7"/>
  <c r="E79" i="7"/>
  <c r="K78" i="7"/>
  <c r="J78" i="7"/>
  <c r="E78" i="7"/>
  <c r="K77" i="7"/>
  <c r="J77" i="7"/>
  <c r="E77" i="7"/>
  <c r="K76" i="7"/>
  <c r="J76" i="7"/>
  <c r="E76" i="7"/>
  <c r="K75" i="7"/>
  <c r="J75" i="7"/>
  <c r="E75" i="7"/>
  <c r="K74" i="7"/>
  <c r="J74" i="7"/>
  <c r="E74" i="7"/>
  <c r="K73" i="7"/>
  <c r="J73" i="7"/>
  <c r="E73" i="7"/>
  <c r="K72" i="7"/>
  <c r="J72" i="7"/>
  <c r="E72" i="7"/>
  <c r="K71" i="7"/>
  <c r="J71" i="7"/>
  <c r="E71" i="7"/>
  <c r="K70" i="7"/>
  <c r="J70" i="7"/>
  <c r="E70" i="7"/>
  <c r="K69" i="7"/>
  <c r="J69" i="7"/>
  <c r="E69" i="7"/>
  <c r="K68" i="7"/>
  <c r="J68" i="7"/>
  <c r="E68" i="7"/>
  <c r="K67" i="7"/>
  <c r="J67" i="7"/>
  <c r="E67" i="7"/>
  <c r="K66" i="7"/>
  <c r="J66" i="7"/>
  <c r="E66" i="7"/>
  <c r="K65" i="7"/>
  <c r="J65" i="7"/>
  <c r="E65" i="7"/>
  <c r="K64" i="7"/>
  <c r="J64" i="7"/>
  <c r="E64" i="7"/>
  <c r="K63" i="7"/>
  <c r="J63" i="7"/>
  <c r="E63" i="7"/>
  <c r="K62" i="7"/>
  <c r="J62" i="7"/>
  <c r="E62" i="7"/>
  <c r="K61" i="7"/>
  <c r="J61" i="7"/>
  <c r="E61" i="7"/>
  <c r="K60" i="7"/>
  <c r="J60" i="7"/>
  <c r="E60" i="7"/>
  <c r="K59" i="7"/>
  <c r="J59" i="7"/>
  <c r="E59" i="7"/>
  <c r="K58" i="7"/>
  <c r="J58" i="7"/>
  <c r="E58" i="7"/>
  <c r="K57" i="7"/>
  <c r="J57" i="7"/>
  <c r="E57" i="7"/>
  <c r="K56" i="7"/>
  <c r="J56" i="7"/>
  <c r="E56" i="7"/>
  <c r="K55" i="7"/>
  <c r="J55" i="7"/>
  <c r="E55" i="7"/>
  <c r="K54" i="7"/>
  <c r="J54" i="7"/>
  <c r="E54" i="7"/>
  <c r="K53" i="7"/>
  <c r="J53" i="7"/>
  <c r="E53" i="7"/>
  <c r="K52" i="7"/>
  <c r="J52" i="7"/>
  <c r="E52" i="7"/>
  <c r="K51" i="7"/>
  <c r="J51" i="7"/>
  <c r="E51" i="7"/>
  <c r="K50" i="7"/>
  <c r="J50" i="7"/>
  <c r="E50" i="7"/>
  <c r="K49" i="7"/>
  <c r="J49" i="7"/>
  <c r="E49" i="7"/>
  <c r="K48" i="7"/>
  <c r="J48" i="7"/>
  <c r="E48" i="7"/>
  <c r="K47" i="7"/>
  <c r="J47" i="7"/>
  <c r="E47" i="7"/>
  <c r="K46" i="7"/>
  <c r="J46" i="7"/>
  <c r="E46" i="7"/>
  <c r="K45" i="7"/>
  <c r="J45" i="7"/>
  <c r="E45" i="7"/>
  <c r="K44" i="7"/>
  <c r="J44" i="7"/>
  <c r="E44" i="7"/>
  <c r="K43" i="7"/>
  <c r="J43" i="7"/>
  <c r="E43" i="7"/>
  <c r="K42" i="7"/>
  <c r="J42" i="7"/>
  <c r="E42" i="7"/>
  <c r="K41" i="7"/>
  <c r="J41" i="7"/>
  <c r="E41" i="7"/>
  <c r="K40" i="7"/>
  <c r="J40" i="7"/>
  <c r="E40" i="7"/>
  <c r="K39" i="7"/>
  <c r="J39" i="7"/>
  <c r="E39" i="7"/>
  <c r="K38" i="7"/>
  <c r="J38" i="7"/>
  <c r="E38" i="7"/>
  <c r="K37" i="7"/>
  <c r="J37" i="7"/>
  <c r="E37" i="7"/>
  <c r="K36" i="7"/>
  <c r="J36" i="7"/>
  <c r="E36" i="7"/>
  <c r="K35" i="7"/>
  <c r="J35" i="7"/>
  <c r="E35" i="7"/>
  <c r="K34" i="7"/>
  <c r="J34" i="7"/>
  <c r="E34" i="7"/>
  <c r="K33" i="7"/>
  <c r="J33" i="7"/>
  <c r="E33" i="7"/>
  <c r="K32" i="7"/>
  <c r="J32" i="7"/>
  <c r="E32" i="7"/>
  <c r="K31" i="7"/>
  <c r="J31" i="7"/>
  <c r="E31" i="7"/>
  <c r="K30" i="7"/>
  <c r="J30" i="7"/>
  <c r="E30" i="7"/>
  <c r="K29" i="7"/>
  <c r="J29" i="7"/>
  <c r="E29" i="7"/>
  <c r="K28" i="7"/>
  <c r="J28" i="7"/>
  <c r="E28" i="7"/>
  <c r="K27" i="7"/>
  <c r="J27" i="7"/>
  <c r="E27" i="7"/>
  <c r="K26" i="7"/>
  <c r="J26" i="7"/>
  <c r="E26" i="7"/>
  <c r="K25" i="7"/>
  <c r="J25" i="7"/>
  <c r="E25" i="7"/>
  <c r="K24" i="7"/>
  <c r="J24" i="7"/>
  <c r="E24" i="7"/>
  <c r="K23" i="7"/>
  <c r="J23" i="7"/>
  <c r="E23" i="7"/>
  <c r="K22" i="7"/>
  <c r="J22" i="7"/>
  <c r="E22" i="7"/>
  <c r="K21" i="7"/>
  <c r="J21" i="7"/>
  <c r="E21" i="7"/>
  <c r="K20" i="7"/>
  <c r="J20" i="7"/>
  <c r="E20" i="7"/>
  <c r="K19" i="7"/>
  <c r="J19" i="7"/>
  <c r="E19" i="7"/>
  <c r="K18" i="7"/>
  <c r="J18" i="7"/>
  <c r="E18" i="7"/>
  <c r="K17" i="7"/>
  <c r="J17" i="7"/>
  <c r="E17" i="7"/>
  <c r="K16" i="7"/>
  <c r="J16" i="7"/>
  <c r="E16" i="7"/>
  <c r="K15" i="7"/>
  <c r="J15" i="7"/>
  <c r="E15" i="7"/>
  <c r="K14" i="7"/>
  <c r="J14" i="7"/>
  <c r="E14" i="7"/>
  <c r="K13" i="7"/>
  <c r="J13" i="7"/>
  <c r="E13" i="7"/>
  <c r="K12" i="7"/>
  <c r="J12" i="7"/>
  <c r="E12" i="7"/>
  <c r="K11" i="7"/>
  <c r="J11" i="7"/>
  <c r="E11" i="7"/>
  <c r="K10" i="7"/>
  <c r="J10" i="7"/>
  <c r="E10" i="7"/>
  <c r="K9" i="7"/>
  <c r="J9" i="7"/>
  <c r="E9" i="7"/>
  <c r="K8" i="7"/>
  <c r="J8" i="7"/>
  <c r="E8" i="7"/>
  <c r="K7" i="7"/>
  <c r="J7" i="7"/>
  <c r="E7" i="7"/>
  <c r="K6" i="7"/>
  <c r="J6" i="7"/>
  <c r="E6" i="7"/>
  <c r="K5" i="7"/>
  <c r="J5" i="7"/>
  <c r="E5" i="7"/>
  <c r="F2" i="7"/>
  <c r="A2" i="73"/>
  <c r="K1" i="71"/>
  <c r="K2" i="71"/>
  <c r="A2" i="70"/>
  <c r="J2" i="7"/>
  <c r="C2" i="7"/>
  <c r="C1" i="7"/>
  <c r="F1" i="7"/>
</calcChain>
</file>

<file path=xl/sharedStrings.xml><?xml version="1.0" encoding="utf-8"?>
<sst xmlns="http://schemas.openxmlformats.org/spreadsheetml/2006/main" count="11066" uniqueCount="2213">
  <si>
    <t>OBAGS001 TES01</t>
  </si>
  <si>
    <t>HLESMD00 ECS46</t>
  </si>
  <si>
    <t>OBAGB024 EVS00</t>
  </si>
  <si>
    <t>SHOUGH00 TESI3</t>
  </si>
  <si>
    <t>SHOUWA00 ECS51</t>
  </si>
  <si>
    <t>OBAGS010 TES01</t>
  </si>
  <si>
    <t>OBAGPA06 TESF1</t>
  </si>
  <si>
    <t>SHOUCF00 ECS35</t>
  </si>
  <si>
    <t>ACCEC002 ECS65</t>
  </si>
  <si>
    <t>HLESD000 ECS35</t>
  </si>
  <si>
    <t>SHOUBG00 ECS35</t>
  </si>
  <si>
    <t>OBAGS010 TESF8</t>
  </si>
  <si>
    <t>OCLKD001 MES81</t>
  </si>
  <si>
    <t>OBAGS002 TESG2</t>
  </si>
  <si>
    <t>OBAGS010 TESG2</t>
  </si>
  <si>
    <t>OBAGS009 TES01</t>
  </si>
  <si>
    <t>OBAGS121 TESG8</t>
  </si>
  <si>
    <t>OCLKD001 MES84</t>
  </si>
  <si>
    <t>OBAGPA10 ECS35</t>
  </si>
  <si>
    <t>ACCEP014 ECS35</t>
  </si>
  <si>
    <t>SHOUG617 ECS00</t>
  </si>
  <si>
    <t>OBAGB001 EVS00</t>
  </si>
  <si>
    <t>OBAGB009 EVS00</t>
  </si>
  <si>
    <t>OBAGB010 EVS00</t>
  </si>
  <si>
    <t>OBAGB206 EVS00</t>
  </si>
  <si>
    <t>OBAGB016 EVS00</t>
  </si>
  <si>
    <t>OBAGB002 EVS00</t>
  </si>
  <si>
    <t>OCLKE013 MAS00</t>
  </si>
  <si>
    <t>SHOUGG00 TESI1</t>
  </si>
  <si>
    <t>ACCEC002 ECS03</t>
  </si>
  <si>
    <t>OBAGB426 MAS09</t>
  </si>
  <si>
    <t>OBAGS016 TES01</t>
  </si>
  <si>
    <t>HLESAE00 ECS00</t>
  </si>
  <si>
    <t>OBAGA000 ECS40</t>
  </si>
  <si>
    <t>OBAGB017 EVS00</t>
  </si>
  <si>
    <t>OCLKSB01 INS00</t>
  </si>
  <si>
    <t>OBAGS017 TESE3</t>
  </si>
  <si>
    <t>OBAGT002 TESG3</t>
  </si>
  <si>
    <t>OBAGS001 TESG3</t>
  </si>
  <si>
    <t>OBAGT001 TESE3</t>
  </si>
  <si>
    <t>OBAGT002 TESH1</t>
  </si>
  <si>
    <t>OBAGS002 TESH1</t>
  </si>
  <si>
    <t>OBAGS010 TESG5</t>
  </si>
  <si>
    <t>OBAGB426 TESG6</t>
  </si>
  <si>
    <t>OBAGT002 TESE3</t>
  </si>
  <si>
    <t>ACCEO001 TES23</t>
  </si>
  <si>
    <t>HLESD200 ROS05</t>
  </si>
  <si>
    <t>SHOUGH00 TESI7</t>
  </si>
  <si>
    <t>SHOUWA00 ECS55</t>
  </si>
  <si>
    <t>OBAGS002 TES01</t>
  </si>
  <si>
    <t>OBAGB002 EVS18</t>
  </si>
  <si>
    <t>HLESAD00 ECS00</t>
  </si>
  <si>
    <t>OBAGS016 TES26</t>
  </si>
  <si>
    <t>OBAGPA24 TESE8</t>
  </si>
  <si>
    <t>OBAGA000 ECS42</t>
  </si>
  <si>
    <t>OCLKD001 MES86</t>
  </si>
  <si>
    <t>OCLKD104 MES90</t>
  </si>
  <si>
    <t>OCLKD104 MES92</t>
  </si>
  <si>
    <t>OBAGS001 TESG2</t>
  </si>
  <si>
    <t>OBAGB016 EVS19</t>
  </si>
  <si>
    <t>OBAGP006 ECS54</t>
  </si>
  <si>
    <t>OCLKD001 MES82</t>
  </si>
  <si>
    <t>OBAGS016 TESH1</t>
  </si>
  <si>
    <t>OBAGS016 TESF8</t>
  </si>
  <si>
    <t>SHOUC106 ECS16</t>
  </si>
  <si>
    <t>OBAGT001 TESE8</t>
  </si>
  <si>
    <t>OBAGP106 TESG5</t>
  </si>
  <si>
    <t>HLESG000 ROS04</t>
  </si>
  <si>
    <t>OBAGS002 TESE5</t>
  </si>
  <si>
    <t>OBAGP106 ECS55</t>
  </si>
  <si>
    <t>OBAGS016 TESE6</t>
  </si>
  <si>
    <t>OBAGP006 TESE8</t>
  </si>
  <si>
    <t>OCLKD001 MES80</t>
  </si>
  <si>
    <t>SHOUWA00 ECS54</t>
  </si>
  <si>
    <t>SHOUA306 ECS42</t>
  </si>
  <si>
    <t>OBAGP106 ECS52</t>
  </si>
  <si>
    <t>OBAGS017 TESE6</t>
  </si>
  <si>
    <t>SHOUGG00 TESI2</t>
  </si>
  <si>
    <t>OBAGS002 TESG9</t>
  </si>
  <si>
    <t>SHOUWA00 TESE5</t>
  </si>
  <si>
    <t>OBAGB426 TESF9</t>
  </si>
  <si>
    <t>OBAGS102 TESG6</t>
  </si>
  <si>
    <t>OCLKD001 MES87</t>
  </si>
  <si>
    <t>OCLKD001 MES88</t>
  </si>
  <si>
    <t>OBAGP006 TESF5</t>
  </si>
  <si>
    <t>OBAGP006 TESF6</t>
  </si>
  <si>
    <t>OBAGP006 TESF8</t>
  </si>
  <si>
    <t>OBAGPA24 TESF6</t>
  </si>
  <si>
    <t>OBAGB009 EVS15</t>
  </si>
  <si>
    <t>OCLKD101 MES85</t>
  </si>
  <si>
    <t>OBAGS017 TESH2</t>
  </si>
  <si>
    <t>OBAGP006 TESF2</t>
  </si>
  <si>
    <t>SHOUGH00 TESI4</t>
  </si>
  <si>
    <t>OBAGT001 TESF9</t>
  </si>
  <si>
    <t>OBAGP106 TES13</t>
  </si>
  <si>
    <t>OBAGS001 TESF9</t>
  </si>
  <si>
    <t>HLESGC00 ECS54</t>
  </si>
  <si>
    <t>OBAGT001 TESG8</t>
  </si>
  <si>
    <t>OBAGT002 TESG8</t>
  </si>
  <si>
    <t>OBAGT002 TESE8</t>
  </si>
  <si>
    <t>OBAGB001 EVS17</t>
  </si>
  <si>
    <t>OBAGS002 TESE7</t>
  </si>
  <si>
    <t>OCLKD101 MES91</t>
  </si>
  <si>
    <t>OBAGB426 ECS67</t>
  </si>
  <si>
    <t>OBAGPA24 ECS53</t>
  </si>
  <si>
    <t>OBAGS009 TESG9</t>
  </si>
  <si>
    <t>OBAGS016 TESG9</t>
  </si>
  <si>
    <t>OBAGS017 TESG3</t>
  </si>
  <si>
    <t>OBAGT001 TESH1</t>
  </si>
  <si>
    <t>OBAGS002 TESF8</t>
  </si>
  <si>
    <t>OBAGPA24 TESF5</t>
  </si>
  <si>
    <t>OCLKD001 MES83</t>
  </si>
  <si>
    <t>OBAGS017 TES26</t>
  </si>
  <si>
    <t>OBAGS010 TESF3</t>
  </si>
  <si>
    <t>OBAGS001 TESE7</t>
  </si>
  <si>
    <t>HLESX600 ECS00</t>
  </si>
  <si>
    <t>OBAGS010 TESE7</t>
  </si>
  <si>
    <t>OBAGPA24 TESG8</t>
  </si>
  <si>
    <t>HLESGC00 ROS04</t>
  </si>
  <si>
    <t>OBAGS001 TESE5</t>
  </si>
  <si>
    <t>OBAGT001 TESF8</t>
  </si>
  <si>
    <t>OBAGB426 TESG7</t>
  </si>
  <si>
    <t>OBAGS010 TESE3</t>
  </si>
  <si>
    <t>OBAGS002 TESF9</t>
  </si>
  <si>
    <t>OBAGB426 TESF7</t>
  </si>
  <si>
    <t>OBAGS001 TESH1</t>
  </si>
  <si>
    <t>OBAGS017 TESH1</t>
  </si>
  <si>
    <t>valeurs fausses</t>
  </si>
  <si>
    <t>OBAGP006 TESG8</t>
  </si>
  <si>
    <t>OBAGS001 TESG9</t>
  </si>
  <si>
    <t>SHOUBG00 MAS10</t>
  </si>
  <si>
    <t>10, RUE GASTON PHOEBUS</t>
  </si>
  <si>
    <t>Total</t>
  </si>
  <si>
    <t>SOFEA</t>
  </si>
  <si>
    <t>Nette tot</t>
  </si>
  <si>
    <t>Tot. remise fin.</t>
  </si>
  <si>
    <t>POCHETTE INTÉRIEURE FERMETURE ÉCLAIR O BAG EN TISSU CANVAS</t>
  </si>
  <si>
    <t>MICRO-ANSES TUBULAIRES COURTES EN FAUX CUIR LISSE</t>
  </si>
  <si>
    <t>CORPS O POCKET MICRO EVA COMPOUND</t>
  </si>
  <si>
    <t>BANDOULIÈRE 80/120 + GOUTTE TROUÉE TISSU RUBAN TECHNIQUE</t>
  </si>
  <si>
    <t>BANDOULIÈRE COURTE NEW GOUTTE TROUÉE EN FAUX CUIR CLOUS PYRAMIDES</t>
  </si>
  <si>
    <t>POCHETTE INTÉRIEURE FERMETURE ÉCLAIR O CITY EN TISSU CANVAS</t>
  </si>
  <si>
    <t>RABAT TOURNIQUET O POCKET EN TISSU + FAUX CUIR NYC À RAYURES</t>
  </si>
  <si>
    <t>BANDOULIÈRE AVEC TRESSAGE + CLIP EN FAUX CUIR BASIC</t>
  </si>
  <si>
    <t>ACCESSOIRES CHARMS POMPON EN FAUX CUIR PLEX + CLOUS</t>
  </si>
  <si>
    <t>ANSES LONGUES ADAPTABLES EN FAUX CUIR BASIC</t>
  </si>
  <si>
    <t>BANDOULIÈRE /BRETELLE SLIM 140 EN FAUX CUIR BASIC</t>
  </si>
  <si>
    <t>POCHETTE INTÉRIEURE FERMETURE ÉCLAIR O CITY EN TISSU DEAUVILLE À RAYURES LARGES</t>
  </si>
  <si>
    <t>O CLOCK MÉCANISME DEAUVILLE LINES</t>
  </si>
  <si>
    <t>POCHETTE INTÉRIEURE À COULISSE O SWING EN TISSU MÉTALLISÉ FLOWER BRODERIE ANGLAISE</t>
  </si>
  <si>
    <t>O CLOCK MÉCANISME URBAN DECOR PETALS</t>
  </si>
  <si>
    <t>RABAT TOURNIQUET O CITY EN FAUX CUIR BASIC</t>
  </si>
  <si>
    <t>ACCESSOIRES POCHETTE FILET EN FAUX CUIR BASIC</t>
  </si>
  <si>
    <t>LONGUE BANDOULIÈRE AVEC BOUCLE O MOON EN FAUX CUIR</t>
  </si>
  <si>
    <t>CORPS O BAG EVA COMPOUND</t>
  </si>
  <si>
    <t>CORPS O BAG 50 EVA COMPOUND</t>
  </si>
  <si>
    <t>CORPS O CITY EVA COMPOUND</t>
  </si>
  <si>
    <t>CORPS INFÉRIEUR O POCKET EVA COMPOUND</t>
  </si>
  <si>
    <t>CORPS O MOON EVA COMPOUND</t>
  </si>
  <si>
    <t>CORPS O BAG MINI EVA COMPOUND</t>
  </si>
  <si>
    <t>O CLOCK SHIFT CASE CLASSIC SLIM EN PLASTIQUE</t>
  </si>
  <si>
    <t>BANDOULIÈRE 80/120 + CLIP EN TISSU RUBAN NEW YORK</t>
  </si>
  <si>
    <t>ACCESSOIRES CHARMS POMPON EN FAUX CUIR SUÈDE</t>
  </si>
  <si>
    <t>CORPS COMPLET O BAG TOTE EN NYLON + PVC</t>
  </si>
  <si>
    <t>POCHETTE INTÉRIEURE FERMETURE ÉCLAIR O BAG MINI EN TISSU CANVAS + RUBAN</t>
  </si>
  <si>
    <t>POCHETTE INTÉRIEURE FERMETURE ÉCLAIR O CITY EN TISSU CANVAS + RUBAN</t>
  </si>
  <si>
    <t>POCHETTE INTÉRIEURE FERMETURE ÉCLAIR O BAG 50 EN TISSU CANVAS</t>
  </si>
  <si>
    <t>POCHETTE INTÉRIEURE FERMETURE ÉCLAIR O MOON EN TISSU CANVAS</t>
  </si>
  <si>
    <t>ANSES COURTES CHAÎNE AVEC TRESSAGE EN FAUX CUIR</t>
  </si>
  <si>
    <t>ACCESSOIRE CLIP EN FAUX CUIR OPAQUE + OR</t>
  </si>
  <si>
    <t>CORPS O MOON LIGHT EVA COMPOUND</t>
  </si>
  <si>
    <t>O CLOCK SHIFT BRACELET BAND EN MATÉRIAU INJECTÉ</t>
  </si>
  <si>
    <t>POCHETTE INTÉRIEURE FERMETURE ÉCLAIR O MOON LIGHT EN TISSU NYC VICHY</t>
  </si>
  <si>
    <t>REVERS O BAG MINI EN TISSU DEAUVILLE À RAYURES SERRÉES</t>
  </si>
  <si>
    <t>POCHETTE INTÉRIEURE FERMETURE ÉCLAIR O BAG EN TISSU DEAUVILLE À RAYURES SERRÉES</t>
  </si>
  <si>
    <t>REVERS O BAG EN TISSU NYC VICHY</t>
  </si>
  <si>
    <t>REVERS O BAG MINI EN TISSU BOUCLÉ DÉCOR</t>
  </si>
  <si>
    <t>POCHETTE INTÉRIEURE FERMETURE ÉCLAIR O BAG MINI EN TISSU BOUCLÉ DÉCOR</t>
  </si>
  <si>
    <t>POCHETTE INTÉRIEURE FERMETURE ÉCLAIR O CITY EN TISSU CANVAS DÉTAIL RUBAN À RAYURES</t>
  </si>
  <si>
    <t>CORPS COMPLET O BAG TOTE EN NYLON À RAYURES</t>
  </si>
  <si>
    <t>REVERS O BAG MINI EN TISSU NYC VICHY</t>
  </si>
  <si>
    <t>ACCESSOIRES PENDENTIF POMPON EN RAPHIA TISSÉ</t>
  </si>
  <si>
    <t>ANSES LONGUES ADAPTABLES GOUTTE EN CORDE + GOUTTE TISSU CAOUTCHOUTÉ</t>
  </si>
  <si>
    <t>BANDOULIÈRE 80/120 + GOUTTE TROUÉE TISSU RUBAN METAL DECOR</t>
  </si>
  <si>
    <t>BANDOULIÈRE COURTE NEW GOUTTE TROUÉE (80 CM) EN FAUX CUIR BASIC + FLEURS PVC</t>
  </si>
  <si>
    <t>POCHETTE INTÉRIEURE FERMETURE ÉCLAIR O BAG MINI EN TISSU CANVAS</t>
  </si>
  <si>
    <t>CORPS O BAG MINI EVA COMPOUND TEXTURE À CHEVRONS</t>
  </si>
  <si>
    <t>ANSES TUBULAIRES EN FAUX CUIR</t>
  </si>
  <si>
    <t>POCHETTE INTÉRIEURE FERMETURE ÉCLAIR O MOON EN TISSU CORDURA</t>
  </si>
  <si>
    <t>RABAT TOURNIQUET O POCKET EN MICRO TISSU NYC FANTAISIE GÉOMÉTRIQUE</t>
  </si>
  <si>
    <t>ACCESSOIRE CLIP EN FAUX CUIR OPAQUE + ARGENT</t>
  </si>
  <si>
    <t>O CLOCK MÉCANISME NYC LINES</t>
  </si>
  <si>
    <t>MÉCANISME GREAT DATE NYC TIMES SQUARE</t>
  </si>
  <si>
    <t>MÉCANISME GREAT DATE SATIN</t>
  </si>
  <si>
    <t>POCHETTE INTÉRIEURE FERMETURE ÉCLAIR O BAG EN TISSU CANVAS + RUBAN</t>
  </si>
  <si>
    <t>CORPS O MOON EVA COMPOUND TEXTURE URBAN FRAME</t>
  </si>
  <si>
    <t>RABAT O POCKET EN FAUX CUIR CLOUS ÉMAILLÉS</t>
  </si>
  <si>
    <t>O CLOCK MÉCANISME URBAN DECOR FLOWERS</t>
  </si>
  <si>
    <t>POCHETTE INTÉRIEURE FERMETURE ÉCLAIR O MOON EN TISSU BOUCLÉ DÉCOR</t>
  </si>
  <si>
    <t>POCHETTE INTÉRIEURE FERMETURE ÉCLAIR O MOON EN TISSU DEAUVILLE À RAYURES LARGES</t>
  </si>
  <si>
    <t>LONGUE BANDOULIÈRE CHAÎNE AVEC BANDEAU O POCKET EN FAUX CUIR MÉTALLISÉ</t>
  </si>
  <si>
    <t>REVERS O BAG EN TISSU NYC FANTAISIE GÉOMÉTRIQUE</t>
  </si>
  <si>
    <t>RABAT AVEC BANDEAU O POCKET TISSU CANVAS DÉTAIL RUBAN À RAYURES</t>
  </si>
  <si>
    <t>ANSES LONGUES EN CORDE TRICOLORE</t>
  </si>
  <si>
    <t>POCHETTE INTÉRIEURE FERMETURE ÉCLAIR O BAG MINI EN TISSU NYC LOSANGES</t>
  </si>
  <si>
    <t>RABAT AVEC BANDEAU O POCKET EN FAUX CUIR BASIC + FLEURS PVC</t>
  </si>
  <si>
    <t>POCHETTE INTÉRIEURE FERMETURE ÉCLAIR O MOON EN TISSU NYC À RAYURES BICOLORE</t>
  </si>
  <si>
    <t>RABAT O POCKET EN TISSU NYC FANTAISIE GÉOMÉTRIQUE</t>
  </si>
  <si>
    <t>O CLOCK MÉCANISME DEAUVILLE LINES + FLOWERS</t>
  </si>
  <si>
    <t>BANDOULIÈRE COURTE NEW GOUTTE TROUÉE EN FAUX CUIR CLOUS ÉMAILLÉS</t>
  </si>
  <si>
    <t>RABAT AVEC BANDEAU O POCKET EN FAUX CUIR RUBAN LIVRE BICOLORE</t>
  </si>
  <si>
    <t>POCHETTE INTÉRIEURE FERMETURE ÉCLAIR O MOON LIGHT EN TISSU NYC À RAYURES BICOLORE</t>
  </si>
  <si>
    <t>BANDOULIÈRE 80/120 + CLIP EN TISSU RUBAN NEW YORK À CHEVRONS</t>
  </si>
  <si>
    <t>POCHETTE INTÉRIEURE FERMETURE ÉCLAIR O BAG MINI EN TISSU FANTAISIE COQUELICOTS SUR RAYUR</t>
  </si>
  <si>
    <t>BANDOULIÈRE COURTE NEW GOUTTE TROUÉE EN TISSU NYC LOSANGES</t>
  </si>
  <si>
    <t>CORPS COMPLET O BAG TOTE EN TISSU DEAUVILLE À RAYURES NUANCÉES</t>
  </si>
  <si>
    <t>POCHETTE INTÉRIEURE À COULISSE O BAG MINI EN NYLON À RAYURES</t>
  </si>
  <si>
    <t>O CLOCK MÉCANISME NYC FLOWER</t>
  </si>
  <si>
    <t>O CLOCK MÉCANISME NYC JUNGLE</t>
  </si>
  <si>
    <t>RABAT O POCKET EN TISSU LUXURY DRIPPING</t>
  </si>
  <si>
    <t>RABAT O POCKET EN TISSU LUXURY STRIPES</t>
  </si>
  <si>
    <t>RABAT O POCKET EN TISSU DEAUVILLE À RAYURES LARGES</t>
  </si>
  <si>
    <t>RABAT TOURNIQUET O POCKET EN MICRO TISSU LUXURY STRIPES</t>
  </si>
  <si>
    <t>CORPS O BAG 50 EVA COMPOUND AVEC APPLICATIONS FLEURS</t>
  </si>
  <si>
    <t>MÉCANISME GREAT URBAN DECOR DIAMONDS</t>
  </si>
  <si>
    <t>POCHETTE INTÉRIEURE FERMETURE ÉCLAIR O MOON LIGHT EN COTON MOTIF PAPILLONS</t>
  </si>
  <si>
    <t>RABAT O POCKET EN NYLON À RAYURES + PVC</t>
  </si>
  <si>
    <t>BANDOULIÈRE 80/120 + GOUTTE TROUÉE TISSU RUBAN MARINA BICOLORE</t>
  </si>
  <si>
    <t>REVERS O BAG EN TISSU DEAUVILLE À RAYURES NUANCÉES</t>
  </si>
  <si>
    <t>RABAT AVEC BANDEAU O POCKET TISSU DENIM</t>
  </si>
  <si>
    <t>POCHETTE INTÉRIEURE FERMETURE ÉCLAIR O BAG EN TISSU DEAUVILLE À RAYURES NUANCÉES</t>
  </si>
  <si>
    <t>ANSES COURTES EN FAUX CUIR CLOUS ÉMAILLÉS</t>
  </si>
  <si>
    <t>REVERS O BAG EN TISSU FLOWER BRODERIE ANGLAISE MÉTALLISÉE</t>
  </si>
  <si>
    <t>REVERS O BAG MINI EN TISSU MÉTALLISÉ FLOWER BRODERIE ANGLAISE</t>
  </si>
  <si>
    <t>REVERS O BAG MINI EN TISSU NYC FANTAISIE GÉOMÉTRIQUE</t>
  </si>
  <si>
    <t>CORPS O BAG EVA COMPOUND + CLOUS PYRAMIDES</t>
  </si>
  <si>
    <t>POCHETTE INTÉRIEURE FERMETURE ÉCLAIR O BAG MINI EN TOILE NYLON + RUBAN LIVRE BICOLORE</t>
  </si>
  <si>
    <t>MÉCANISME GREAT NYC LATITUD</t>
  </si>
  <si>
    <t>CORPS COMPLET O BAG TOTE EN FAUX CUIR SOFT TOUCH</t>
  </si>
  <si>
    <t>RABAT TOURNIQUET O POCKET EN MICRO EN FAUX CUIR MÉTALLISÉ + FLEURS PVC OPAQUE</t>
  </si>
  <si>
    <t>POCHETTE INTÉRIEURE FERMETURE ÉCLAIR O BAG 50 EN TISSU FANTAISIE COQUELICOTS SUR RAYURES</t>
  </si>
  <si>
    <t>POCHETTE INTÉRIEURE FERMETURE ÉCLAIR O MOON EN TISSU FANTAISIE COQUELICOTS SUR RAYURES</t>
  </si>
  <si>
    <t>POCHETTE INTÉRIEURE FERMETURE ÉCLAIR O MOON LIGHT EN TISSU DEAUVILLE À RAYURES SERRÉES</t>
  </si>
  <si>
    <t>REVERS O BAG EN TISSU BOUCLÉ DÉCOR</t>
  </si>
  <si>
    <t>POCHETTE INTÉRIEURE FERMETURE ÉCLAIR O BAG MINI EN TISSU DEAUVILLE À RAYURES LARGES</t>
  </si>
  <si>
    <t>RABAT TOURNIQUET O POCKET EN MICRO TISSU LUXURY DRIPPING</t>
  </si>
  <si>
    <t>O CLOCK MÉCANISME URBAN DECOR MEADOWS</t>
  </si>
  <si>
    <t>POCHETTE INTÉRIEURE FERMETURE ÉCLAIR O MOON LIGHT EN TISSU CORDURA</t>
  </si>
  <si>
    <t>POCHETTE INTÉRIEURE FERMETURE ÉCLAIR O CITY EN NYLON À RAYURES</t>
  </si>
  <si>
    <t>POCHETTE INTÉRIEURE FERMETURE ÉCLAIR O BAG EN TOILE NYLON + RUBAN LIVRE BICOLORE</t>
  </si>
  <si>
    <t>ANSES COURTES EXTRASLIM GOUTTE AVEC DEMI-ANNEAU EN FAUX CUIR</t>
  </si>
  <si>
    <t>POCHETTE INTÉRIEURE FERMETURE ÉCLAIR O CITY EN TOILE NYLON + RUBAN LIVRE BICOLORE</t>
  </si>
  <si>
    <t>RABAT TOURNIQUET O POCKET EN MICRO TISSU MÉTALLISÉ FLOWER BRODERIE ANGLAISE</t>
  </si>
  <si>
    <t>ANSES COURTES EN CORDE TRICOLORE</t>
  </si>
  <si>
    <t>POCHETTE INTÉRIEURE FERMETURE ÉCLAIR O BAG EN TISSU NYC LOSANGES</t>
  </si>
  <si>
    <t>REVERS O BAG EN TISSU DEAUVILLE À RAYURES LARGES</t>
  </si>
  <si>
    <t>CORPS COMPLET O BAG TOTE EN NYLON COULEUR UNIE</t>
  </si>
  <si>
    <t>POCHETTE INTÉRIEURE FERMETURE ÉCLAIR O CITY EN TISSU NYC VICHY</t>
  </si>
  <si>
    <t>POCHETTE INTÉRIEURE FERMETURE ÉCLAIR O BAG MINI EN TISSU DEAUVILLE À RAYURES NUANCÉES</t>
  </si>
  <si>
    <t>CORPS COMPLET O BAG TOTE EN TISSU DEAUVILLE À RAYURES EFFET FLAMMÉ</t>
  </si>
  <si>
    <t>POCHETTE INTÉRIEURE FERMETURE ÉCLAIR O BAG EN TISSU BOUCLÉ DÉCOR</t>
  </si>
  <si>
    <t>POCHETTE INTÉRIEURE FERMETURE ÉCLAIR O MOON LIGHT EN TISSU BOUCLÉ DÉCOR</t>
  </si>
  <si>
    <t>RABAT O POCKET EN TISSU MÉTALLISÉ FLOWER BRODERIE ANGLAISE</t>
  </si>
  <si>
    <t>POCHETTE INTÉRIEURE FERMETURE ÉCLAIR O BAG EN TISSU FANTAISIE COQUELICOTS SUR RAYURES</t>
  </si>
  <si>
    <t>BANDOULIÈRE /BRETELLE SLIM 140 EN PVC</t>
  </si>
  <si>
    <t>Code produit</t>
  </si>
  <si>
    <t>Qté</t>
  </si>
  <si>
    <t>Étiquettes de lignes</t>
  </si>
  <si>
    <t>Valeurs</t>
  </si>
  <si>
    <t>(vide)</t>
  </si>
  <si>
    <t>Code</t>
  </si>
  <si>
    <t>Couleur</t>
  </si>
  <si>
    <t>AQUA</t>
  </si>
  <si>
    <t>AMARANTH</t>
  </si>
  <si>
    <t>SILVER</t>
  </si>
  <si>
    <t>AVIO</t>
  </si>
  <si>
    <t>IVORY</t>
  </si>
  <si>
    <t>WHITE</t>
  </si>
  <si>
    <t>IRIS BLUE</t>
  </si>
  <si>
    <t>NAVY BLUE</t>
  </si>
  <si>
    <t>BORDEAUX</t>
  </si>
  <si>
    <t>GREY</t>
  </si>
  <si>
    <t>LIME</t>
  </si>
  <si>
    <t>NARCISSUS</t>
  </si>
  <si>
    <t>BLACK</t>
  </si>
  <si>
    <t>GOLD</t>
  </si>
  <si>
    <t>PETROL</t>
  </si>
  <si>
    <t>PHARD</t>
  </si>
  <si>
    <t>DUST</t>
  </si>
  <si>
    <t>ROCK</t>
  </si>
  <si>
    <t>SAND</t>
  </si>
  <si>
    <t>SAGE</t>
  </si>
  <si>
    <t>DARK BROWN</t>
  </si>
  <si>
    <t>DARK GREEN</t>
  </si>
  <si>
    <t>DESATURATED VIOLET</t>
  </si>
  <si>
    <t>TERRACOTTA</t>
  </si>
  <si>
    <t>STRAWBERRY</t>
  </si>
  <si>
    <t>BISCUIT</t>
  </si>
  <si>
    <t>ANTIQUE GREEN</t>
  </si>
  <si>
    <t>LIGHT GREY</t>
  </si>
  <si>
    <t>DUCK BILL</t>
  </si>
  <si>
    <t>BLUETTE</t>
  </si>
  <si>
    <t>APPLE</t>
  </si>
  <si>
    <t>SNOW</t>
  </si>
  <si>
    <t>BROOM</t>
  </si>
  <si>
    <t>CHERRY</t>
  </si>
  <si>
    <t>VOLCANO</t>
  </si>
  <si>
    <t>APRICOT</t>
  </si>
  <si>
    <t>AGED BRASS</t>
  </si>
  <si>
    <t>MILK</t>
  </si>
  <si>
    <t>SANGRIA</t>
  </si>
  <si>
    <t>[26]</t>
  </si>
  <si>
    <t>Prix</t>
  </si>
  <si>
    <t xml:space="preserve"> Qté</t>
  </si>
  <si>
    <t>BD Tous Catalogues.xlsx</t>
  </si>
  <si>
    <t>Base de données Codes Barres</t>
  </si>
  <si>
    <t>WINTER 2017 COLLECTION</t>
  </si>
  <si>
    <t>Fall 2018 continuativo</t>
  </si>
  <si>
    <t>OCLKE013 MAS00 008</t>
  </si>
  <si>
    <t>Code couleur</t>
  </si>
  <si>
    <t>Code complet</t>
  </si>
  <si>
    <t>Code barre</t>
  </si>
  <si>
    <t>Catalogue</t>
  </si>
  <si>
    <t>Code Barre</t>
  </si>
  <si>
    <t>Spring 2018 .continuativo</t>
  </si>
  <si>
    <t>Spring 2018</t>
  </si>
  <si>
    <t>Urban Spring 2018</t>
  </si>
  <si>
    <t>Modèle</t>
  </si>
  <si>
    <t>Page</t>
  </si>
  <si>
    <t>OBAGB426 ECS67 479</t>
  </si>
  <si>
    <t>OBAGS121 TESG8 061</t>
  </si>
  <si>
    <t>OCLKD001 MES82 025</t>
  </si>
  <si>
    <t>OCLKD001 MES82 130</t>
  </si>
  <si>
    <t>OCLKD001 MES84 130</t>
  </si>
  <si>
    <t>OBAGB002 EVS00 485</t>
  </si>
  <si>
    <t>OBAGB009 EVS00 071</t>
  </si>
  <si>
    <t>OBAGB002 EVS00 071</t>
  </si>
  <si>
    <t>05</t>
  </si>
  <si>
    <t>OBAGB002 EVS00 133</t>
  </si>
  <si>
    <t>OBAGB001 EVS00 076</t>
  </si>
  <si>
    <t>OBAGB010 EVS00 078</t>
  </si>
  <si>
    <t>OBAGB206 EVS00 017</t>
  </si>
  <si>
    <t>09</t>
  </si>
  <si>
    <t>OBAGB206 EVS00 076</t>
  </si>
  <si>
    <t>OBAGS002 TES01 026</t>
  </si>
  <si>
    <t>OBAGB016 EVS00 076</t>
  </si>
  <si>
    <t>OBAGB009 EVS00 422</t>
  </si>
  <si>
    <t/>
  </si>
  <si>
    <t>08</t>
  </si>
  <si>
    <t>OBAGB017 EVS00 347</t>
  </si>
  <si>
    <t>OBAGB017 EVS00 075</t>
  </si>
  <si>
    <t>OCLKSB01 INS00 422</t>
  </si>
  <si>
    <t>ACCEC002 ECS03 075</t>
  </si>
  <si>
    <t>HLESD000 ECS35 055</t>
  </si>
  <si>
    <t>OBAGS010 TESF3 227</t>
  </si>
  <si>
    <t>OBAGT002 TESG3 480</t>
  </si>
  <si>
    <t>ACCEC002 ECS03 371</t>
  </si>
  <si>
    <t>ACCEP014 ECS35 055</t>
  </si>
  <si>
    <t>SHOUCF00 ECS35 076</t>
  </si>
  <si>
    <t>HLESAD00 ECS00 055</t>
  </si>
  <si>
    <t>OBAGT002 TESH1 008</t>
  </si>
  <si>
    <t>OBAGS001 TES01 076</t>
  </si>
  <si>
    <t>OBAGS002 TESH1 008</t>
  </si>
  <si>
    <t>ACCEC002 ECS65 055</t>
  </si>
  <si>
    <t>HLESGC00 ECS54 075</t>
  </si>
  <si>
    <t>HLESGC00 ROS04 475</t>
  </si>
  <si>
    <t>OBAGT002 TESG3 481</t>
  </si>
  <si>
    <t>HLESD000 ECS35 036</t>
  </si>
  <si>
    <t>Réf. Non trouvées</t>
  </si>
  <si>
    <t>Nombre total</t>
  </si>
  <si>
    <t>Codes barres trouvés</t>
  </si>
  <si>
    <t>Vu</t>
  </si>
  <si>
    <t>void</t>
  </si>
  <si>
    <t>Somme sur Vu</t>
  </si>
  <si>
    <t>Somme sur Code Barre</t>
  </si>
  <si>
    <t>Récupération des données source</t>
  </si>
  <si>
    <t>Ouvir le PDF de la proforma</t>
  </si>
  <si>
    <t>Tout sélectionner, Copier</t>
  </si>
  <si>
    <t>Copie du modèle de fichier d'extraction</t>
  </si>
  <si>
    <t>Ouvrir ce fichier de modèle</t>
  </si>
  <si>
    <t>enregistrer sous "nom de proforma".xlsm</t>
  </si>
  <si>
    <t>Copier les données</t>
  </si>
  <si>
    <t>Sur l'onglet Feuil1, tout effacer si nécessaire</t>
  </si>
  <si>
    <t>Coller les données en cellule A1</t>
  </si>
  <si>
    <t>Extraction des données</t>
  </si>
  <si>
    <r>
      <t xml:space="preserve">Sur l'onglet </t>
    </r>
    <r>
      <rPr>
        <b/>
        <sz val="11"/>
        <color rgb="FF000000"/>
        <rFont val="Calibri"/>
      </rPr>
      <t>Code Barre</t>
    </r>
    <r>
      <rPr>
        <sz val="11"/>
        <color rgb="FF000000"/>
        <rFont val="Calibri"/>
        <family val="2"/>
      </rPr>
      <t xml:space="preserve"> bouton </t>
    </r>
    <r>
      <rPr>
        <b/>
        <sz val="11"/>
        <color rgb="FF000000"/>
        <rFont val="Calibri"/>
      </rPr>
      <t>Rechercher Codes Barre</t>
    </r>
  </si>
  <si>
    <r>
      <t xml:space="preserve">Sur l'onglet </t>
    </r>
    <r>
      <rPr>
        <b/>
        <sz val="11"/>
        <color rgb="FF000000"/>
        <rFont val="Calibri"/>
      </rPr>
      <t>Extraction</t>
    </r>
    <r>
      <rPr>
        <sz val="11"/>
        <color rgb="FF000000"/>
        <rFont val="Calibri"/>
        <family val="2"/>
      </rPr>
      <t xml:space="preserve">, bouton </t>
    </r>
    <r>
      <rPr>
        <b/>
        <sz val="11"/>
        <color rgb="FF000000"/>
        <rFont val="Calibri"/>
      </rPr>
      <t>Extraire</t>
    </r>
  </si>
  <si>
    <r>
      <t xml:space="preserve">Sur l'onglet </t>
    </r>
    <r>
      <rPr>
        <b/>
        <sz val="11"/>
        <color rgb="FF000000"/>
        <rFont val="Calibri"/>
      </rPr>
      <t>Synthèse Codes Barre</t>
    </r>
    <r>
      <rPr>
        <sz val="11"/>
        <color rgb="FF000000"/>
        <rFont val="Calibri"/>
        <family val="2"/>
      </rPr>
      <t>, actualiser les données du tableau croisé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</si>
  <si>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 </t>
    </r>
  </si>
  <si>
    <t xml:space="preserve">31120 LACROIX-FALGARDE -Francia P.Iva 44808894489 </t>
  </si>
  <si>
    <r>
      <t xml:space="preserve">Année </t>
    </r>
    <r>
      <rPr>
        <sz val="7"/>
        <color rgb="FF000000"/>
        <rFont val="Arial"/>
      </rPr>
      <t xml:space="preserve">2018 </t>
    </r>
    <r>
      <rPr>
        <sz val="7"/>
        <color rgb="FF000000"/>
        <rFont val="Arial,Bold"/>
      </rPr>
      <t xml:space="preserve">Index </t>
    </r>
    <r>
      <rPr>
        <sz val="7"/>
        <color rgb="FF000000"/>
        <rFont val="Arial"/>
      </rPr>
      <t xml:space="preserve">50 </t>
    </r>
    <r>
      <rPr>
        <sz val="7"/>
        <color rgb="FF000000"/>
        <rFont val="Arial,Bold"/>
      </rPr>
      <t xml:space="preserve">N. </t>
    </r>
    <r>
      <rPr>
        <sz val="7"/>
        <color rgb="FF000000"/>
        <rFont val="Arial"/>
      </rPr>
      <t xml:space="preserve">47 </t>
    </r>
    <r>
      <rPr>
        <sz val="7"/>
        <color rgb="FF000000"/>
        <rFont val="Arial,Bold"/>
      </rPr>
      <t xml:space="preserve">Date </t>
    </r>
    <r>
      <rPr>
        <sz val="7"/>
        <color rgb="FF000000"/>
        <rFont val="Arial"/>
      </rPr>
      <t xml:space="preserve">25/01/2018 </t>
    </r>
    <r>
      <rPr>
        <sz val="7"/>
        <color rgb="FF000000"/>
        <rFont val="Arial,Bold"/>
      </rPr>
      <t>Échéance</t>
    </r>
  </si>
  <si>
    <r>
      <t xml:space="preserve">Exemption </t>
    </r>
    <r>
      <rPr>
        <sz val="7"/>
        <color rgb="FF000000"/>
        <rFont val="Arial"/>
      </rPr>
      <t>VEND.N.I.ART.41 L.427/93 UE</t>
    </r>
  </si>
  <si>
    <t xml:space="preserve">Intention </t>
  </si>
  <si>
    <t xml:space="preserve">Justificatif Cod.paiement Remise fin. </t>
  </si>
  <si>
    <t xml:space="preserve">Proforma da Prebolle P002 BONIFICO CLIENTE </t>
  </si>
  <si>
    <t xml:space="preserve">Banque Transporteurs label </t>
  </si>
  <si>
    <t xml:space="preserve">Agent </t>
  </si>
  <si>
    <t xml:space="preserve">AGENTE DIREZIONALE SOCIETA' D01 </t>
  </si>
  <si>
    <t xml:space="preserve">EUR </t>
  </si>
  <si>
    <t xml:space="preserve">Remise en-t remise cond. N. jours </t>
  </si>
  <si>
    <t xml:space="preserve">N. Modèle Chg Cod.pièce Couleur Qté Prix Remises Montant Cadeau </t>
  </si>
  <si>
    <t xml:space="preserve">Total Facture 9.327,32 EUR </t>
  </si>
  <si>
    <r>
      <t xml:space="preserve">Document Date doc. Client dest. </t>
    </r>
    <r>
      <rPr>
        <sz val="7"/>
        <color rgb="FF000000"/>
        <rFont val="Arial"/>
      </rPr>
      <t xml:space="preserve">002489 O BAG STORE TOULOUSE </t>
    </r>
  </si>
  <si>
    <r>
      <t xml:space="preserve">N° Com </t>
    </r>
    <r>
      <rPr>
        <sz val="7"/>
        <color rgb="FF000000"/>
        <rFont val="Arial"/>
      </rPr>
      <t xml:space="preserve">2018 01/OBAG/1286 </t>
    </r>
  </si>
  <si>
    <t xml:space="preserve">1 OBAGB016 EVS19 483 2,000 PZ 13,800 27,60 </t>
  </si>
  <si>
    <r>
      <t xml:space="preserve">CORPS O MOON EVA COMPOUND TEXTURE URBAN FRAME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</si>
  <si>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Taille Qté x tail </t>
  </si>
  <si>
    <t xml:space="preserve">UNICA </t>
  </si>
  <si>
    <t xml:space="preserve">2 OBAGB426 ECS67 479 2,000 PZ 29,400 58,80 </t>
  </si>
  <si>
    <r>
      <t xml:space="preserve">CORPS COMPLET O BAG TOTE EN FAUX CUIR SOFT TOUCH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4202921100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</si>
  <si>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 OBAGS121 TESG8 061 2,000 PZ 15,600 31,20 </t>
  </si>
  <si>
    <r>
      <t xml:space="preserve">POCHETTE INTÉRIEURE À COULISSE O SWING EN TISSU MÉTALLISÉ FLOWER BRODERIE ANGLAISE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</si>
  <si>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4 OCLKD001 MES82 025 3,000 PZ 9,000 27,00 </t>
  </si>
  <si>
    <r>
      <t xml:space="preserve">O CLOCK MÉCANISME URBAN DECOR FLOWERS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</si>
  <si>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5 OCLKD001 MES82 130 3,000 PZ 9,000 27,00 </t>
  </si>
  <si>
    <t xml:space="preserve">6 OCLKD001 MES84 130 3,000 PZ 8,400 25,20 </t>
  </si>
  <si>
    <r>
      <t xml:space="preserve">O CLOCK MÉCANISME URBAN DECOR PETALS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</si>
  <si>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7 OBAGB002 EVS00 485 2,000 PZ 14,400 28,80 </t>
  </si>
  <si>
    <r>
      <t xml:space="preserve">CORPS O BAG MINI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</si>
  <si>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 </t>
    </r>
  </si>
  <si>
    <t xml:space="preserve">2018 01/OBAG/1286 </t>
  </si>
  <si>
    <t xml:space="preserve">8 OBAGB009 EVS00 071 1,000 PZ 14,400 14,40 </t>
  </si>
  <si>
    <r>
      <t xml:space="preserve">CORPS O BAG 50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</si>
  <si>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Taille </t>
  </si>
  <si>
    <t xml:space="preserve">Qté x tail </t>
  </si>
  <si>
    <t xml:space="preserve">9 OBAGB002 EVS00 071 1,000 PZ 14,400 14,40 </t>
  </si>
  <si>
    <t xml:space="preserve">10 OBAGB002 EVS00 133 1,000 PZ 14,400 14,40 </t>
  </si>
  <si>
    <t xml:space="preserve">11 OBAGB001 EVS00 076 2,000 PZ 14,400 28,80 </t>
  </si>
  <si>
    <r>
      <t xml:space="preserve">CORPS O BAG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</si>
  <si>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12 OBAGB010 EVS00 078 1,000 PZ 13,080 13,08 </t>
  </si>
  <si>
    <r>
      <t xml:space="preserve">CORPS O CITY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</si>
  <si>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13 OBAGB206 EVS00 017 1,000 PZ 4,800 4,80 </t>
  </si>
  <si>
    <r>
      <t xml:space="preserve">CORPS INFÉRIEUR O POCKET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</si>
  <si>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14 OBAGB206 EVS00 076 2,000 PZ 4,800 9,60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</si>
  <si>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 </t>
    </r>
  </si>
  <si>
    <t xml:space="preserve">15 OBAGS002 TES01 026 2,000 PZ 7,080 14,16 </t>
  </si>
  <si>
    <r>
      <t xml:space="preserve">POCHETTE INTÉRIEURE FERMETURE ÉCLAIR O BAG MINI EN TISSU CANVAS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</si>
  <si>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16 OBAGB016 EVS00 076 2,000 PZ 12,600 25,20 </t>
  </si>
  <si>
    <r>
      <t xml:space="preserve">CORPS O MOON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</si>
  <si>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17 OBAGB009 EVS00 422 2,000 PZ 14,400 28,80 </t>
  </si>
  <si>
    <t xml:space="preserve">18 OBAGB017 EVS00 347 2,000 PZ 11,040 22,08 </t>
  </si>
  <si>
    <r>
      <t xml:space="preserve">CORPS O MOON LIGHT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</si>
  <si>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19 OBAGB017 EVS00 075 2,000 PZ 11,040 22,08 </t>
  </si>
  <si>
    <t xml:space="preserve">20 OCLKSB01 INS00 422 6,000 PZ 2,520 15,12 </t>
  </si>
  <si>
    <r>
      <t xml:space="preserve">O CLOCK SHIFT BRACELET BAND EN MATÉRIAU INJECTÉ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9113900099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</si>
  <si>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21 ACCEC002 ECS03 075 2,000 PZ 7,080 14,16 </t>
  </si>
  <si>
    <r>
      <t xml:space="preserve">ACCESSOIRES CHARMS POMPON EN FAUX CUIR SUÈDE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7907000000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</si>
  <si>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22 HLESD000 ECS35 055 3,000 PZ 14,400 43,20 </t>
  </si>
  <si>
    <r>
      <t xml:space="preserve">ANSES LONGUES ADAPTABLES EN FAUX CUIR BASIC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</si>
  <si>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 </t>
    </r>
  </si>
  <si>
    <t xml:space="preserve">23 OBAGS010 TESF3 227 2,000 PZ 14,400 28,80 </t>
  </si>
  <si>
    <r>
      <t xml:space="preserve">POCHETTE INTÉRIEURE FERMETURE ÉCLAIR O CITY EN NYLON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</si>
  <si>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24 OBAGT002 TESG3 480 2,000 PZ 10,800 21,60 </t>
  </si>
  <si>
    <r>
      <t xml:space="preserve">REVERS O BAG MINI EN TISSU DEAUVILLE À RAYURES SERRÉES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</si>
  <si>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25 ACCEC002 ECS03 371 2,000 PZ 7,080 14,16 </t>
  </si>
  <si>
    <t xml:space="preserve">26 ACCEP014 ECS35 055 3,000 PZ 9,600 28,80 </t>
  </si>
  <si>
    <r>
      <t xml:space="preserve">ACCESSOIRES POCHETTE FILET EN FAUX CUIR BASIC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</si>
  <si>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27 SHOUCF00 ECS35 076 3,000 PZ 11,880 35,64 </t>
  </si>
  <si>
    <r>
      <t xml:space="preserve">BANDOULIÈRE AVEC TRESSAGE + CLIP EN FAUX CUIR BASIC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</si>
  <si>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28 HLESAD00 ECS00 055 5,000 PZ 4,560 22,80 </t>
  </si>
  <si>
    <r>
      <t xml:space="preserve">ANSES TUBULAIRES EN FAUX CUIR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</si>
  <si>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29 OBAGT002 TESH1 008 2,000 PZ 12,720 25,44 </t>
  </si>
  <si>
    <r>
      <t xml:space="preserve">REVERS O BAG MINI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</si>
  <si>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30 OBAGS001 TES01 076 2,000 PZ 7,800 15,60 </t>
  </si>
  <si>
    <r>
      <t xml:space="preserve">POCHETTE INTÉRIEURE FERMETURE ÉCLAIR O BAG EN TISSU CANVAS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</si>
  <si>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 </t>
    </r>
  </si>
  <si>
    <t xml:space="preserve">31 OBAGS002 TESH1 008 2,000 PZ 9,720 19,44 </t>
  </si>
  <si>
    <r>
      <t xml:space="preserve">POCHETTE INTÉRIEURE FERMETURE ÉCLAIR O BAG MINI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</si>
  <si>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32 ACCEC002 ECS65 055 2,000 PZ 7,800 15,60 </t>
  </si>
  <si>
    <r>
      <t xml:space="preserve">ACCESSOIRES CHARMS POMPON EN FAUX CUIR PLEX + CLOUS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7907000000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</si>
  <si>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33 HLESGC00 ECS54 075 2,000 PZ 16,320 32,64 </t>
  </si>
  <si>
    <r>
      <t xml:space="preserve">ANSES COURTES EN FAUX CUIR CLOUS ÉMAILLÉS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</si>
  <si>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34 HLESGC00 ROS04 475 2,000 PZ 6,600 13,20 </t>
  </si>
  <si>
    <r>
      <t xml:space="preserve">ANSES COURTES EN CORDE TRICOLORE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5609000000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</si>
  <si>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35 OBAGT002 TESG3 481 2,000 PZ 10,800 21,60 </t>
  </si>
  <si>
    <t xml:space="preserve">36 HLESD000 ECS35 036 2,000 PZ 14,400 28,80 </t>
  </si>
  <si>
    <t xml:space="preserve">37 HLESD000 ECS35 371 2,000 PZ 14,400 28,80 </t>
  </si>
  <si>
    <t xml:space="preserve">38 OBAGS002 TES01 347 2,000 PZ 7,080 14,16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</si>
  <si>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6 </t>
    </r>
  </si>
  <si>
    <t xml:space="preserve">39 OBAGS001 TES01 130 2,000 PZ 7,800 15,60 </t>
  </si>
  <si>
    <t xml:space="preserve">40 OBAGS016 TESE6 055 2,000 PZ 11,880 23,76 </t>
  </si>
  <si>
    <r>
      <t xml:space="preserve">POCHETTE INTÉRIEURE FERMETURE ÉCLAIR O MOON EN TISSU NYC À RAYURES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</si>
  <si>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41 HLESAD00 ECS00 017 6,000 PZ 4,560 27,36 </t>
  </si>
  <si>
    <t xml:space="preserve">42 HLESAD00 ECS00 036 6,000 PZ 4,560 27,36 </t>
  </si>
  <si>
    <t xml:space="preserve">43 OBAGS017 TESE6 055 2,000 PZ 11,880 23,76 </t>
  </si>
  <si>
    <r>
      <t xml:space="preserve">POCHETTE INTÉRIEURE FERMETURE ÉCLAIR O MOON LIGHT EN TISSU NYC À RAYURES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</si>
  <si>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44 SHOUCF00 ECS35 008 4,000 PZ 11,880 47,52 </t>
  </si>
  <si>
    <t xml:space="preserve">45 ACCEP014 ECS35 026 2,000 PZ 9,600 19,20 </t>
  </si>
  <si>
    <t xml:space="preserve">46 OBAGS002 TESG2 017 2,000 PZ 9,720 19,44 </t>
  </si>
  <si>
    <r>
      <t xml:space="preserve">POCHETTE INTÉRIEURE FERMETURE ÉCLAIR O BAG MINI EN TISSU CANVAS + RUBAN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</si>
  <si>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7 </t>
    </r>
  </si>
  <si>
    <t xml:space="preserve">47 OBAGP106 ECS55 479 2,000 PZ 19,320 38,64 </t>
  </si>
  <si>
    <r>
      <t xml:space="preserve">RABAT AVEC BANDEAU O POCKET EN FAUX CUIR BASIC + FLEURS PVC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</si>
  <si>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48 OBAGB016 EVS00 026 2,000 PZ 12,600 25,20 </t>
  </si>
  <si>
    <t xml:space="preserve">49 OCLKE013 MAS00 008 6,000 PZ 1,920 11,52 </t>
  </si>
  <si>
    <r>
      <t xml:space="preserve">O CLOCK SHIFT CASE CLASSIC SLIM EN PLASTIQUE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91021100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</si>
  <si>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50 OCLKE013 MAS00 055 6,000 PZ 1,920 11,52 </t>
  </si>
  <si>
    <t xml:space="preserve">51 OCLKE013 MAS00 063 6,000 PZ 1,920 11,52 </t>
  </si>
  <si>
    <t xml:space="preserve">52 OCLKE013 MAS00 036 6,000 PZ 1,920 11,52 </t>
  </si>
  <si>
    <t xml:space="preserve">53 OCLKSB01 INS00 036 6,000 PZ 2,520 15,12 </t>
  </si>
  <si>
    <t xml:space="preserve">54 ACCEC002 ECS03 055 2,000 PZ 7,080 14,16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</si>
  <si>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8 </t>
    </r>
  </si>
  <si>
    <t xml:space="preserve">55 OBAGS002 TESG2 130 2,000 PZ 9,720 19,44 </t>
  </si>
  <si>
    <t xml:space="preserve">56 OBAGS010 TES01 076 2,000 PZ 9,360 18,72 </t>
  </si>
  <si>
    <r>
      <t xml:space="preserve">POCHETTE INTÉRIEURE FERMETURE ÉCLAIR O CITY EN TISSU CANVAS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</si>
  <si>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57 OBAGS016 TESE6 076 2,000 PZ 11,880 23,76 </t>
  </si>
  <si>
    <t xml:space="preserve">58 HLESMD00 ECS46 017 3,000 PZ 12,720 38,16 </t>
  </si>
  <si>
    <r>
      <t xml:space="preserve">MICRO-ANSES TUBULAIRES COURTES EN FAUX CUIR LISSE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</si>
  <si>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59 HLESMD00 ECS46 479 3,000 PZ 12,720 38,16 </t>
  </si>
  <si>
    <t xml:space="preserve">60 SHOUWA00 ECS51 055 2,000 PZ 18,120 36,24 </t>
  </si>
  <si>
    <r>
      <t xml:space="preserve">BANDOULIÈRE COURTE NEW GOUTTE TROUÉE EN FAUX CUIR CLOUS PYRAMIDES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</si>
  <si>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61 OBAGS001 TESH1 008 2,000 PZ 10,800 21,60 </t>
  </si>
  <si>
    <r>
      <t xml:space="preserve">POCHETTE INTÉRIEURE FERMETURE ÉCLAIR O BAG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</si>
  <si>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62 OBAGT002 TESE3 227 2,000 PZ 10,800 21,60 </t>
  </si>
  <si>
    <r>
      <t xml:space="preserve">REVERS O BAG MINI EN TISSU NYC VICHY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</si>
  <si>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9 </t>
    </r>
  </si>
  <si>
    <t xml:space="preserve">63 OBAGP006 ECS54 072 2,000 PZ 18,120 36,24 </t>
  </si>
  <si>
    <r>
      <t xml:space="preserve">RABAT O POCKET EN FAUX CUIR CLOUS ÉMAILLÉS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</si>
  <si>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64 OBAGP006 TESG8 061 2,000 PZ 15,600 31,20 </t>
  </si>
  <si>
    <r>
      <t xml:space="preserve">RABAT O POCKET EN TISSU MÉTALLISÉ FLOWER BRODERIE ANGLAISE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</si>
  <si>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65 OBAGPA24 TESG8 061 2,000 PZ 14,400 28,80 </t>
  </si>
  <si>
    <r>
      <t xml:space="preserve">RABAT TOURNIQUET O POCKET EN MICRO TISSU MÉTALLISÉ FLOWER BRODERIE ANGLAISE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</si>
  <si>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66 OBAGB024 EVS00 055 2,000 PZ 4,800 9,60 </t>
  </si>
  <si>
    <r>
      <t xml:space="preserve">CORPS O POCKET MICRO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</si>
  <si>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67 OBAGB017 EVS00 479 2,000 PZ 11,040 22,08 </t>
  </si>
  <si>
    <t xml:space="preserve">68 OBAGT001 TESG8 061 2,000 PZ 20,040 40,08 </t>
  </si>
  <si>
    <r>
      <t xml:space="preserve">REVERS O BAG EN TISSU FLOWER BRODERIE ANGLAISE MÉTALLISÉE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</si>
  <si>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69 OBAGT002 TESE8 227 2,000 PZ 12,720 25,44 </t>
  </si>
  <si>
    <r>
      <t xml:space="preserve">REVERS O BAG MINI EN TISSU NYC FANTAISIE GÉOMÉTRIQUE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</si>
  <si>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70 OBAGS001 TES01 347 2,000 PZ 7,800 15,60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</si>
  <si>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10 </t>
    </r>
  </si>
  <si>
    <t xml:space="preserve">71 OBAGB002 EVS18 371 2,000 PZ 15,600 31,20 </t>
  </si>
  <si>
    <r>
      <t xml:space="preserve">CORPS O BAG MINI EVA COMPOUND TEXTURE À CHEVRONS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</si>
  <si>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72 OBAGS102 TESG6 408 2,000 PZ 11,880 23,76 </t>
  </si>
  <si>
    <r>
      <t xml:space="preserve">POCHETTE INTÉRIEURE À COULISSE O BAG MINI EN NYLON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</si>
  <si>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73 OBAGB002 EVS18 347 2,000 PZ 15,600 31,20 </t>
  </si>
  <si>
    <t xml:space="preserve">74 OBAGB024 EVS00 347 2,000 PZ 4,800 9,60 </t>
  </si>
  <si>
    <t xml:space="preserve">75 OBAGS016 TES01 347 2,000 PZ 10,800 21,60 </t>
  </si>
  <si>
    <r>
      <t xml:space="preserve">POCHETTE INTÉRIEURE FERMETURE ÉCLAIR O MOON EN TISSU CANVAS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</si>
  <si>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76 OCLKD001 MES88 076 3,000 PZ 8,400 25,20 </t>
  </si>
  <si>
    <r>
      <t xml:space="preserve">O CLOCK MÉCANISME NYC JUNGLE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</si>
  <si>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77 OCLKD101 MES91 487 3,000 PZ 9,000 27,00 </t>
  </si>
  <si>
    <r>
      <t xml:space="preserve">MÉCANISME GREAT NYC LATITUD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</si>
  <si>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78 OCLKD104 MES90 008 3,000 PZ 8,520 25,56 </t>
  </si>
  <si>
    <r>
      <t xml:space="preserve">MÉCANISME GREAT DATE NYC TIMES SQUARE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</si>
  <si>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11 </t>
    </r>
  </si>
  <si>
    <t xml:space="preserve">79 OBAGB024 EVS00 026 2,000 PZ 4,800 9,60 </t>
  </si>
  <si>
    <t xml:space="preserve">80 SHOUBG00 ECS35 479 2,000 PZ 7,200 14,40 </t>
  </si>
  <si>
    <r>
      <t xml:space="preserve">BANDOULIÈRE /BRETELLE SLIM 140 EN FAUX CUIR BASIC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</si>
  <si>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81 OBAGS009 TES01 026 2,000 PZ 9,780 19,56 </t>
  </si>
  <si>
    <r>
      <t xml:space="preserve">POCHETTE INTÉRIEURE FERMETURE ÉCLAIR O BAG 50 EN TISSU CANVAS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</si>
  <si>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82 ACCEO001 TES23 036 2,000 PZ 7,800 15,60 </t>
  </si>
  <si>
    <r>
      <t xml:space="preserve">ACCESSOIRES PENDENTIF POMPON EN RAPHIA TISSÉ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7907000000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</si>
  <si>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83 ACCEO001 TES23 076 2,000 PZ 7,800 15,60 </t>
  </si>
  <si>
    <t xml:space="preserve">84 OBAGB016 EVS19 479 2,000 PZ 13,800 27,60 </t>
  </si>
  <si>
    <t xml:space="preserve">85 OBAGP006 ECS54 130 2,000 PZ 18,120 36,24 </t>
  </si>
  <si>
    <t xml:space="preserve">86 OBAGPA24 ECS53 061 2,000 PZ 15,600 31,20 </t>
  </si>
  <si>
    <r>
      <t xml:space="preserve">RABAT TOURNIQUET O POCKET EN MICRO EN FAUX CUIR MÉTALLISÉ + FLEURS PVC OPAQUE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</si>
  <si>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12 </t>
    </r>
  </si>
  <si>
    <t xml:space="preserve">87 SHOUWA00 ECS54 479 2,000 PZ 21,960 43,92 </t>
  </si>
  <si>
    <r>
      <t xml:space="preserve">BANDOULIÈRE COURTE NEW GOUTTE TROUÉE EN FAUX CUIR CLOUS ÉMAILLÉS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</si>
  <si>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88 HLESMD00 ECS46 072 3,000 PZ 12,720 38,16 </t>
  </si>
  <si>
    <t xml:space="preserve">89 HLESMD00 ECS46 483 3,000 PZ 12,720 38,16 </t>
  </si>
  <si>
    <t xml:space="preserve">90 OBAGA000 ECS40 483 6,000 PZ 3,000 18,00 </t>
  </si>
  <si>
    <r>
      <t xml:space="preserve">ACCESSOIRE CLIP EN FAUX CUIR OPAQUE + 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</si>
  <si>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91 OBAGB001 EVS00 078 1,000 PZ 14,400 14,40 </t>
  </si>
  <si>
    <t xml:space="preserve">92 OBAGB001 EVS00 017 1,000 PZ 14,400 14,40 </t>
  </si>
  <si>
    <t xml:space="preserve">93 OBAGB016 EVS00 071 2,000 PZ 12,600 25,20 </t>
  </si>
  <si>
    <t xml:space="preserve">94 OBAGS017 TES26 078 2,000 PZ 10,440 20,88 </t>
  </si>
  <si>
    <r>
      <t xml:space="preserve">POCHETTE INTÉRIEURE FERMETURE ÉCLAIR O MOON LIGHT EN TISSU CORDURA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</si>
  <si>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13 </t>
    </r>
  </si>
  <si>
    <t xml:space="preserve">95 OBAGB010 EVS00 076 2,000 PZ 13,080 26,16 </t>
  </si>
  <si>
    <t xml:space="preserve">96 OBAGB009 EVS00 075 2,000 PZ 14,400 28,80 </t>
  </si>
  <si>
    <t xml:space="preserve">97 OBAGB206 EVS00 071 1,000 PZ 4,800 4,80 </t>
  </si>
  <si>
    <t xml:space="preserve">98 OBAGB010 EVS00 371 1,000 PZ 13,080 13,08 </t>
  </si>
  <si>
    <t xml:space="preserve">99 OBAGB009 EVS00 371 1,000 PZ 14,400 14,40 </t>
  </si>
  <si>
    <t xml:space="preserve">100 OBAGB016 EVS00 347 2,000 PZ 12,600 25,20 </t>
  </si>
  <si>
    <t xml:space="preserve">101 OBAGB017 EVS00 026 2,000 PZ 11,040 22,08 </t>
  </si>
  <si>
    <t xml:space="preserve">102 OBAGB001 EVS00 479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</si>
  <si>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14 </t>
    </r>
  </si>
  <si>
    <t xml:space="preserve">103 OCLKSB01 INS00 008 6,000 PZ 2,520 15,12 </t>
  </si>
  <si>
    <t xml:space="preserve">104 OBAGS017 TESH2 036 2,000 PZ 12,720 25,44 </t>
  </si>
  <si>
    <r>
      <t xml:space="preserve">POCHETTE INTÉRIEURE FERMETURE ÉCLAIR O MOON LIGHT EN COTON MOTIF PAPILLONS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</si>
  <si>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105 OBAGT001 TESF8 480 2,000 PZ 10,680 21,36 </t>
  </si>
  <si>
    <r>
      <t xml:space="preserve">REVERS O BAG EN TISSU DEAUVILLE À RAYURES LARGES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</si>
  <si>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106 OBAGB001 EVS00 484 2,000 PZ 14,400 28,80 </t>
  </si>
  <si>
    <t xml:space="preserve">107 OBAGP006 TESF2 055 2,000 PZ 18,120 36,24 </t>
  </si>
  <si>
    <r>
      <t xml:space="preserve">RABAT O POCKET EN NYLON À RAYURES + PVC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</si>
  <si>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108 OBAGS002 TESF9 254 2,000 PZ 10,800 21,60 </t>
  </si>
  <si>
    <r>
      <t xml:space="preserve">POCHETTE INTÉRIEURE FERMETURE ÉCLAIR O BAG MINI EN TISSU DEAUVILLE À RAYURES NUANCÉES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</si>
  <si>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109 OBAGS009 TESG9 125 2,000 PZ 10,800 21,60 </t>
  </si>
  <si>
    <r>
      <t xml:space="preserve">POCHETTE INTÉRIEURE FERMETURE ÉCLAIR O BAG 50 EN TISSU FANTAISIE COQUELICOTS SUR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</si>
  <si>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110 ACCEC002 ECS03 036 2,000 PZ 7,080 14,16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</si>
  <si>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15 </t>
    </r>
  </si>
  <si>
    <t xml:space="preserve">111 HLESAE00 ECS00 075 2,000 PZ 4,560 9,12 </t>
  </si>
  <si>
    <r>
      <t xml:space="preserve">ANSES COURTES CHAÎNE AVEC TRESSAGE EN FAUX CUIR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7909000000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</si>
  <si>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112 OBAGB017 EVS00 017 2,000 PZ 11,040 22,08 </t>
  </si>
  <si>
    <t xml:space="preserve">113 OBAGB017 EVS00 071 2,000 PZ 11,040 22,08 </t>
  </si>
  <si>
    <t xml:space="preserve">114 HLESMD00 ECS46 055 4,000 PZ 12,720 50,88 </t>
  </si>
  <si>
    <t xml:space="preserve">115 OBAGB010 EVS00 422 2,000 PZ 13,080 26,16 </t>
  </si>
  <si>
    <t xml:space="preserve">116 OBAGS016 TES26 055 2,000 PZ 11,400 22,80 </t>
  </si>
  <si>
    <r>
      <t xml:space="preserve">POCHETTE INTÉRIEURE FERMETURE ÉCLAIR O MOON EN TISSU CORDURA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</si>
  <si>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117 OBAGS017 TES26 055 2,000 PZ 10,440 20,88 </t>
  </si>
  <si>
    <t xml:space="preserve">118 OBAGB009 EVS00 026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</si>
  <si>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16 </t>
    </r>
  </si>
  <si>
    <t xml:space="preserve">119 OBAGB016 EVS00 075 2,000 PZ 12,600 25,20 </t>
  </si>
  <si>
    <t xml:space="preserve">120 OBAGB001 EVS00 026 2,000 PZ 14,400 28,80 </t>
  </si>
  <si>
    <t xml:space="preserve">121 OCLKSB01 INS00 060 6,000 PZ 2,520 15,12 </t>
  </si>
  <si>
    <t xml:space="preserve">122 OBAGB426 TESG7 017 2,000 PZ 25,560 51,12 </t>
  </si>
  <si>
    <r>
      <t xml:space="preserve">CORPS COMPLET O BAG TOTE EN NYLON COULEUR UNIE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4202929190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</si>
  <si>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123 OBAGS009 TES01 076 2,000 PZ 9,780 19,56 </t>
  </si>
  <si>
    <t xml:space="preserve">124 ACCEC002 ECS03 089 2,000 PZ 7,080 14,16 </t>
  </si>
  <si>
    <t xml:space="preserve">125 HLESAD00 ECS00 076 6,000 PZ 4,560 27,36 </t>
  </si>
  <si>
    <t xml:space="preserve">126 HLESX600 ECS00 055 4,000 PZ 9,000 36,00 </t>
  </si>
  <si>
    <r>
      <t xml:space="preserve">ANSES COURTES EXTRASLIM GOUTTE AVEC DEMI-ANNEAU EN FAUX CUIR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</si>
  <si>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17 </t>
    </r>
  </si>
  <si>
    <t xml:space="preserve">127 OBAGB426 TESG6 408 2,000 PZ 29,880 59,76 </t>
  </si>
  <si>
    <r>
      <t xml:space="preserve">CORPS COMPLET O BAG TOTE EN NYLON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4202929190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</si>
  <si>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128 OBAGPA24 ECS53 072 2,000 PZ 15,600 31,20 </t>
  </si>
  <si>
    <t xml:space="preserve">129 OBAGS002 TES01 076 2,000 PZ 7,080 14,16 </t>
  </si>
  <si>
    <t xml:space="preserve">130 ACCEO001 TES23 009 2,000 PZ 7,800 15,60 </t>
  </si>
  <si>
    <t xml:space="preserve">131 SHOUGH00 TESI7 482 3,000 PZ 13,440 40,32 </t>
  </si>
  <si>
    <r>
      <t xml:space="preserve">BANDOULIÈRE 80/120 + GOUTTE TROUÉE TISSU RUBAN METAL DECOR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</si>
  <si>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132 OBAGB002 EVS18 055 2,000 PZ 15,600 31,20 </t>
  </si>
  <si>
    <t xml:space="preserve">133 OBAGB024 EVS00 075 2,000 PZ 4,800 9,60 </t>
  </si>
  <si>
    <t xml:space="preserve">134 OBAGS001 TESE5 036 2,000 PZ 10,800 21,60 </t>
  </si>
  <si>
    <r>
      <t xml:space="preserve">POCHETTE INTÉRIEURE FERMETURE ÉCLAIR O BAG EN TISSU NYC LOSANGES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</si>
  <si>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18 </t>
    </r>
  </si>
  <si>
    <t xml:space="preserve">135 OBAGS002 TES01 422 2,000 PZ 7,080 14,16 </t>
  </si>
  <si>
    <t xml:space="preserve">136 HLESD200 ROS05 008 2,000 PZ 13,440 26,88 </t>
  </si>
  <si>
    <r>
      <t xml:space="preserve">ANSES LONGUES ADAPTABLES GOUTTE EN CORDE + GOUTTE TISSU CAOUTCHOUTÉ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5609000000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</si>
  <si>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137 OBAGS002 TES01 075 2,000 PZ 7,080 14,16 </t>
  </si>
  <si>
    <t xml:space="preserve">138 OBAGB426 TESF9 009 2,000 PZ 20,400 40,80 </t>
  </si>
  <si>
    <r>
      <t xml:space="preserve">CORPS COMPLET O BAG TOTE EN TISSU DEAUVILLE À RAYURES NUANCÉES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4202929190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</si>
  <si>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139 HLESMD00 ECS46 076 3,000 PZ 12,720 38,16 </t>
  </si>
  <si>
    <t xml:space="preserve">140 ACCEC002 ECS65 076 2,000 PZ 7,800 15,60 </t>
  </si>
  <si>
    <t xml:space="preserve">141 HLESAD00 ECS00 371 6,000 PZ 4,560 27,36 </t>
  </si>
  <si>
    <t xml:space="preserve">142 OBAGS016 TES01 422 2,000 PZ 10,800 21,60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</si>
  <si>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19 </t>
    </r>
  </si>
  <si>
    <t xml:space="preserve">143 OBAGS016 TES26 008 2,000 PZ 11,400 22,80 </t>
  </si>
  <si>
    <t xml:space="preserve">144 OBAGPA06 TESF1 036 2,000 PZ 12,720 25,44 </t>
  </si>
  <si>
    <r>
      <t xml:space="preserve">RABAT TOURNIQUET O POCKET EN TISSU + FAUX CUIR NYC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</si>
  <si>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145 OCLKD104 MES92 497 3,000 PZ 18,960 56,88 </t>
  </si>
  <si>
    <r>
      <t xml:space="preserve">MÉCANISME GREAT DATE SATIN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</si>
  <si>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146 OBAGB024 EVS00 479 2,000 PZ 4,800 9,60 </t>
  </si>
  <si>
    <t xml:space="preserve">147 OBAGS017 TESG3 481 2,000 PZ 10,800 21,60 </t>
  </si>
  <si>
    <r>
      <t xml:space="preserve">POCHETTE INTÉRIEURE FERMETURE ÉCLAIR O MOON LIGHT EN TISSU DEAUVILLE À RAYURES SERRÉES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</si>
  <si>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148 OBAGPA24 TESF6 474 2,000 PZ 15,600 31,20 </t>
  </si>
  <si>
    <r>
      <t xml:space="preserve">RABAT TOURNIQUET O POCKET EN MICRO TISSU LUXURY STRIPES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</si>
  <si>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149 OBAGA000 ECS42 479 6,000 PZ 3,600 21,60 </t>
  </si>
  <si>
    <r>
      <t xml:space="preserve">ACCESSOIRE CLIP EN FAUX CUIR OPAQUE + ARGENT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</si>
  <si>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150 OBAGB009 EVS15 075 2,000 PZ 24,000 48,00 </t>
  </si>
  <si>
    <r>
      <t xml:space="preserve">CORPS O BAG 50 EVA COMPOUND AVEC APPLICATIONS FLEURS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</si>
  <si>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20 </t>
    </r>
  </si>
  <si>
    <t xml:space="preserve">151 OBAGS009 TES01 075 2,000 PZ 9,780 19,56 </t>
  </si>
  <si>
    <t xml:space="preserve">152 OBAGS009 TES01 422 2,000 PZ 9,780 19,56 </t>
  </si>
  <si>
    <t xml:space="preserve">153 OBAGS010 TES01 422 2,000 PZ 9,360 18,72 </t>
  </si>
  <si>
    <t xml:space="preserve">154 SHOUBG00 ECS35 055 2,000 PZ 7,200 14,40 </t>
  </si>
  <si>
    <t xml:space="preserve">155 SHOUG617 ECS00 055 10,000 PZ 9,600 96,00 </t>
  </si>
  <si>
    <r>
      <t xml:space="preserve">LONGUE BANDOULIÈRE AVEC BOUCLE O MOON EN FAUX CUIR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</si>
  <si>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156 OBAGS016 TES26 078 2,000 PZ 11,400 22,80 </t>
  </si>
  <si>
    <t xml:space="preserve">157 OBAGB206 EVS00 133 1,000 PZ 4,800 4,80 </t>
  </si>
  <si>
    <t xml:space="preserve">158 HLESMD00 ECS46 221 4,000 PZ 12,720 50,88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</si>
  <si>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21 </t>
    </r>
  </si>
  <si>
    <t xml:space="preserve">159 SHOUGH00 TESI3 470 2,000 PZ 13,440 26,88 </t>
  </si>
  <si>
    <r>
      <t xml:space="preserve">BANDOULIÈRE 80/120 + GOUTTE TROUÉE TISSU RUBAN TECHNIQUE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</si>
  <si>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160 OBAGP006 TESE8 227 2,000 PZ 12,720 25,44 </t>
  </si>
  <si>
    <r>
      <t xml:space="preserve">RABAT O POCKET EN TISSU NYC FANTAISIE GÉOMÉTRIQUE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</si>
  <si>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161 OBAGPA24 TESE8 227 2,000 PZ 12,600 25,20 </t>
  </si>
  <si>
    <r>
      <t xml:space="preserve">RABAT TOURNIQUET O POCKET EN MICRO TISSU NYC FANTAISIE GÉOMÉTRIQUE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</si>
  <si>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162 ACCEC002 ECS65 422 2,000 PZ 7,800 15,60 </t>
  </si>
  <si>
    <t xml:space="preserve">163 OCLKD001 MES87 055 3,000 PZ 8,400 25,20 </t>
  </si>
  <si>
    <r>
      <t xml:space="preserve">O CLOCK MÉCANISME NYC FLOWER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</si>
  <si>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164 HLESAD00 ECS00 026 6,000 PZ 4,560 27,36 </t>
  </si>
  <si>
    <t xml:space="preserve">165 OBAGS010 TES01 026 2,000 PZ 9,360 18,72 </t>
  </si>
  <si>
    <t xml:space="preserve">166 OBAGP006 TESF6 474 2,000 PZ 18,120 36,24 </t>
  </si>
  <si>
    <r>
      <t xml:space="preserve">RABAT O POCKET EN TISSU LUXURY STRIPES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</si>
  <si>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22 </t>
    </r>
  </si>
  <si>
    <t xml:space="preserve">167 OBAGPA10 ECS35 017 2,000 PZ 6,720 13,44 </t>
  </si>
  <si>
    <r>
      <t xml:space="preserve">RABAT TOURNIQUET O CITY EN FAUX CUIR BASIC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</si>
  <si>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168 OBAGA000 ECS40 075 6,000 PZ 3,000 18,00 </t>
  </si>
  <si>
    <t xml:space="preserve">169 OBAGB009 EVS00 055 1,000 PZ 14,400 14,40 </t>
  </si>
  <si>
    <t xml:space="preserve">170 OBAGB010 EVS00 055 1,000 PZ 13,080 13,08 </t>
  </si>
  <si>
    <t xml:space="preserve">171 SHOUG617 ECS00 054 8,000 PZ 9,600 76,80 </t>
  </si>
  <si>
    <t xml:space="preserve">172 OBAGB002 EVS00 371 1,000 PZ 14,400 14,40 </t>
  </si>
  <si>
    <t xml:space="preserve">173 OBAGB009 EVS00 158 1,000 PZ 14,400 14,40 </t>
  </si>
  <si>
    <t xml:space="preserve">174 OBAGB206 EVS00 055 1,000 PZ 4,800 4,80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</si>
  <si>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23 </t>
    </r>
  </si>
  <si>
    <t xml:space="preserve">175 OBAGB206 EVS00 078 1,000 PZ 4,800 4,80 </t>
  </si>
  <si>
    <t xml:space="preserve">176 OBAGB009 EVS00 133 1,000 PZ 14,400 14,40 </t>
  </si>
  <si>
    <t xml:space="preserve">177 OBAGB017 EVS00 158 2,000 PZ 11,040 22,08 </t>
  </si>
  <si>
    <t xml:space="preserve">178 OBAGB002 EVS00 075 2,000 PZ 14,400 28,80 </t>
  </si>
  <si>
    <t xml:space="preserve">179 SHOUA306 ECS42 055 6,000 PZ 3,600 21,60 </t>
  </si>
  <si>
    <t xml:space="preserve">180 OBAGB002 EVS00 422 2,000 PZ 14,400 28,80 </t>
  </si>
  <si>
    <t xml:space="preserve">181 OBAGB010 EVS00 347 2,000 PZ 13,080 26,16 </t>
  </si>
  <si>
    <t xml:space="preserve">182 OBAGB002 EVS00 483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</si>
  <si>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24 </t>
    </r>
  </si>
  <si>
    <t xml:space="preserve">183 OCLKSB01 INS00 076 6,000 PZ 2,520 15,12 </t>
  </si>
  <si>
    <t xml:space="preserve">184 OCLKE013 MAS00 422 6,000 PZ 1,920 11,52 </t>
  </si>
  <si>
    <t xml:space="preserve">185 OBAGB206 EVS00 347 2,000 PZ 4,800 9,60 </t>
  </si>
  <si>
    <t xml:space="preserve">186 OBAGS016 TESH1 008 2,000 PZ 12,720 25,44 </t>
  </si>
  <si>
    <r>
      <t xml:space="preserve">POCHETTE INTÉRIEURE FERMETURE ÉCLAIR O MOON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</si>
  <si>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187 SHOUGH00 TESI4 241 3,000 PZ 12,600 37,80 </t>
  </si>
  <si>
    <r>
      <t xml:space="preserve">BANDOULIÈRE 80/120 + GOUTTE TROUÉE TISSU RUBAN MARINA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</si>
  <si>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188 OBAGS010 TESH1 008 2,000 PZ 14,400 28,80 </t>
  </si>
  <si>
    <r>
      <t xml:space="preserve">POCHETTE INTÉRIEURE FERMETURE ÉCLAIR O CITY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</si>
  <si>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189 SHOUC106 ECS16 483 2,000 PZ 9,600 19,20 </t>
  </si>
  <si>
    <r>
      <t xml:space="preserve">LONGUE BANDOULIÈRE CHAÎNE AVEC BANDEAU O POCKET EN FAUX CUIR MÉTALLISÉ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</si>
  <si>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190 OBAGP006 TESF8 480 2,000 PZ 11,880 23,76 </t>
  </si>
  <si>
    <r>
      <t xml:space="preserve">RABAT O POCKET EN TISSU DEAUVILLE À RAYURES LARGES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</si>
  <si>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25 </t>
    </r>
  </si>
  <si>
    <t xml:space="preserve">191 OBAGP106 TES13 017 2,000 PZ 14,400 28,80 </t>
  </si>
  <si>
    <r>
      <t xml:space="preserve">RABAT AVEC BANDEAU O POCKET TISSU DENIM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</si>
  <si>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192 OBAGS017 TESE6 076 2,000 PZ 11,880 23,76 </t>
  </si>
  <si>
    <t xml:space="preserve">193 OBAGB426 MAS09 055 3,000 PZ 29,400 88,20 </t>
  </si>
  <si>
    <r>
      <t xml:space="preserve">CORPS COMPLET O BAG TOTE EN NYLON + PVC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4202921100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</si>
  <si>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194 OBAGS001 TESE7 055 2,000 PZ 12,720 25,44 </t>
  </si>
  <si>
    <r>
      <t xml:space="preserve">POCHETTE INTÉRIEURE FERMETURE ÉCLAIR O BAG EN TOILE NYLON + RUBAN LIVRE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</si>
  <si>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195 SHOUBG00 ECS35 075 2,000 PZ 7,200 14,40 </t>
  </si>
  <si>
    <t xml:space="preserve">196 OBAGT001 TESE8 227 2,000 PZ 14,400 28,80 </t>
  </si>
  <si>
    <r>
      <t xml:space="preserve">REVERS O BAG EN TISSU NYC FANTAISIE GÉOMÉTRIQUE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</si>
  <si>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197 OBAGS016 TES01 076 2,000 PZ 10,800 21,60 </t>
  </si>
  <si>
    <t xml:space="preserve">198 OBAGB001 EVS00 483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</si>
  <si>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26 </t>
    </r>
  </si>
  <si>
    <t xml:space="preserve">199 HLESGC00 ECS54 479 2,000 PZ 16,320 32,64 </t>
  </si>
  <si>
    <t xml:space="preserve">200 SHOUWA00 TESE5 036 2,000 PZ 13,320 26,64 </t>
  </si>
  <si>
    <r>
      <t xml:space="preserve">BANDOULIÈRE COURTE NEW GOUTTE TROUÉE EN TISSU NYC LOSANGES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</si>
  <si>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201 OBAGS002 TESF8 481 2,000 PZ 10,800 21,60 </t>
  </si>
  <si>
    <r>
      <t xml:space="preserve">POCHETTE INTÉRIEURE FERMETURE ÉCLAIR O BAG MINI EN TISSU DEAUVILLE À RAYURES LARGES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</si>
  <si>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202 ACCEP014 ECS35 076 2,000 PZ 9,600 19,20 </t>
  </si>
  <si>
    <t xml:space="preserve">203 OBAGB002 EVS00 484 2,000 PZ 14,400 28,80 </t>
  </si>
  <si>
    <t xml:space="preserve">204 OBAGB002 EVS00 486 2,000 PZ 14,400 28,80 </t>
  </si>
  <si>
    <t xml:space="preserve">205 OBAGS016 TESF8 481 2,000 PZ 11,880 23,76 </t>
  </si>
  <si>
    <r>
      <t xml:space="preserve">POCHETTE INTÉRIEURE FERMETURE ÉCLAIR O MOON EN TISSU DEAUVILLE À RAYURES LARGES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</si>
  <si>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206 OBAGS002 TESE7 055 2,000 PZ 12,720 25,44 </t>
  </si>
  <si>
    <r>
      <t xml:space="preserve">POCHETTE INTÉRIEURE FERMETURE ÉCLAIR O BAG MINI EN TOILE NYLON + RUBAN LIVRE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</si>
  <si>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27 </t>
    </r>
  </si>
  <si>
    <t xml:space="preserve">207 OBAGP106 ECS52 055 2,000 PZ 15,600 31,20 </t>
  </si>
  <si>
    <r>
      <t xml:space="preserve">RABAT AVEC BANDEAU O POCKET EN FAUX CUIR RUBAN LIVRE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</si>
  <si>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208 OBAGA000 ECS42 036 6,000 PZ 3,600 21,60 </t>
  </si>
  <si>
    <t xml:space="preserve">209 OCLKD001 MES86 347 3,000 PZ 8,400 25,20 </t>
  </si>
  <si>
    <r>
      <t xml:space="preserve">O CLOCK MÉCANISME NYC LINES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</si>
  <si>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210 OBAGS009 TES01 130 2,000 PZ 9,780 19,56 </t>
  </si>
  <si>
    <t xml:space="preserve">211 OBAGS016 TES01 026 2,000 PZ 10,800 21,60 </t>
  </si>
  <si>
    <t xml:space="preserve">212 OBAGP006 TESF5 441 2,000 PZ 18,120 36,24 </t>
  </si>
  <si>
    <r>
      <t xml:space="preserve">RABAT O POCKET EN TISSU LUXURY DRIPPING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</si>
  <si>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213 OCLKD001 MES81 017 3,000 PZ 9,000 27,00 </t>
  </si>
  <si>
    <r>
      <t xml:space="preserve">O CLOCK MÉCANISME DEAUVILLE LINES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</si>
  <si>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214 OBAGB009 EVS15 479 2,000 PZ 24,000 48,00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</si>
  <si>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28 </t>
    </r>
  </si>
  <si>
    <t xml:space="preserve">215 OBAGS010 TES01 075 2,000 PZ 9,360 18,72 </t>
  </si>
  <si>
    <t xml:space="preserve">216 OBAGS017 TESH2 072 2,000 PZ 12,720 25,44 </t>
  </si>
  <si>
    <t xml:space="preserve">217 HLESAE00 ECS00 479 4,000 PZ 4,560 18,24 </t>
  </si>
  <si>
    <t xml:space="preserve">218 OCLKD001 MES84 075 3,000 PZ 8,400 25,20 </t>
  </si>
  <si>
    <t xml:space="preserve">219 OCLKD101 MES85 483 3,000 PZ 9,000 27,00 </t>
  </si>
  <si>
    <r>
      <t xml:space="preserve">MÉCANISME GREAT URBAN DECOR DIAMONDS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</si>
  <si>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220 OBAGB001 EVS00 071 1,000 PZ 14,400 14,40 </t>
  </si>
  <si>
    <t xml:space="preserve">221 OBAGB002 EVS00 076 2,000 PZ 14,400 28,80 </t>
  </si>
  <si>
    <t xml:space="preserve">222 OBAGB009 EVS00 017 1,000 PZ 14,400 14,40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</si>
  <si>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29 </t>
    </r>
  </si>
  <si>
    <t xml:space="preserve">223 OBAGB206 EVS00 479 2,000 PZ 4,800 9,60 </t>
  </si>
  <si>
    <t xml:space="preserve">224 OBAGB426 TESF7 475 2,000 PZ 29,880 59,76 </t>
  </si>
  <si>
    <r>
      <t xml:space="preserve">CORPS COMPLET O BAG TOTE EN TISSU DEAUVILLE À RAYURES EFFET FLAMMÉ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4202929190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</si>
  <si>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225 OBAGS010 TESF8 480 2,000 PZ 12,720 25,44 </t>
  </si>
  <si>
    <r>
      <t xml:space="preserve">POCHETTE INTÉRIEURE FERMETURE ÉCLAIR O CITY EN TISSU DEAUVILLE À RAYURES LARGES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</si>
  <si>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226 ACCEC002 ECS03 479 2,000 PZ 7,080 14,16 </t>
  </si>
  <si>
    <t xml:space="preserve">227 OBAGA000 ECS42 017 6,000 PZ 3,600 21,60 </t>
  </si>
  <si>
    <t xml:space="preserve">228 OBAGS017 TESH1 008 2,000 PZ 12,720 25,44 </t>
  </si>
  <si>
    <r>
      <t xml:space="preserve">POCHETTE INTÉRIEURE FERMETURE ÉCLAIR O MOON LIGHT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</si>
  <si>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229 OBAGS001 TESG2 130 2,000 PZ 10,800 21,60 </t>
  </si>
  <si>
    <r>
      <t xml:space="preserve">POCHETTE INTÉRIEURE FERMETURE ÉCLAIR O BAG EN TISSU CANVAS + RUBAN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</si>
  <si>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230 ACCEC002 ECS03 026 2,000 PZ 7,080 14,16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</si>
  <si>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30 </t>
    </r>
  </si>
  <si>
    <t xml:space="preserve">231 OBAGB426 ECS67 072 2,000 PZ 29,400 58,80 </t>
  </si>
  <si>
    <t xml:space="preserve">232 OBAGP106 TESG5 476 2,000 PZ 14,400 28,80 </t>
  </si>
  <si>
    <r>
      <t xml:space="preserve">RABAT AVEC BANDEAU O POCKET TISSU CANVAS DÉTAIL RUBAN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</si>
  <si>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233 SHOUWA00 ECS55 075 2,000 PZ 20,040 40,08 </t>
  </si>
  <si>
    <r>
      <t xml:space="preserve">BANDOULIÈRE COURTE NEW GOUTTE TROUÉE (80 CM) EN FAUX CUIR BASIC + FLEURS PVC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</si>
  <si>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234 OBAGB016 EVS19 075 2,000 PZ 13,800 27,60 </t>
  </si>
  <si>
    <t xml:space="preserve">235 OBAGT002 TESG8 061 2,000 PZ 18,240 36,48 </t>
  </si>
  <si>
    <r>
      <t xml:space="preserve">REVERS O BAG MINI EN TISSU MÉTALLISÉ FLOWER BRODERIE ANGLAISE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</si>
  <si>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236 OBAGT001 TESF8 481 2,000 PZ 10,680 21,36 </t>
  </si>
  <si>
    <t xml:space="preserve">237 OBAGB010 EVS00 479 2,000 PZ 13,080 26,16 </t>
  </si>
  <si>
    <t xml:space="preserve">238 HLESD200 ROS05 017 2,000 PZ 13,440 26,88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</si>
  <si>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31 </t>
    </r>
  </si>
  <si>
    <t xml:space="preserve">239 OBAGS001 TES01 026 2,000 PZ 7,800 15,60 </t>
  </si>
  <si>
    <t xml:space="preserve">240 OBAGS001 TES01 075 2,000 PZ 7,800 15,60 </t>
  </si>
  <si>
    <t xml:space="preserve">241 OBAGB001 EVS17 055 2,000 PZ 33,000 66,00 </t>
  </si>
  <si>
    <r>
      <t xml:space="preserve">CORPS O BAG EVA COMPOUND + CLOUS PYRAMIDES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</si>
  <si>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242 OBAGB024 EVS00 422 2,000 PZ 4,800 9,60 </t>
  </si>
  <si>
    <t xml:space="preserve">243 SHOUWA00 ECS51 076 2,000 PZ 18,120 36,24 </t>
  </si>
  <si>
    <t xml:space="preserve">244 OBAGPA06 TESF1 008 2,000 PZ 12,720 25,44 </t>
  </si>
  <si>
    <t xml:space="preserve">245 OBAGPA06 TESF1 055 2,000 PZ 12,720 25,44 </t>
  </si>
  <si>
    <t xml:space="preserve">246 SHOUCF00 ECS35 036 3,000 PZ 11,880 35,64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</si>
  <si>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32 </t>
    </r>
  </si>
  <si>
    <t xml:space="preserve">247 SHOUCF00 ECS35 055 4,000 PZ 11,880 47,52 </t>
  </si>
  <si>
    <t xml:space="preserve">248 OBAGA000 ECS42 371 6,000 PZ 3,600 21,60 </t>
  </si>
  <si>
    <t xml:space="preserve">249 OCLKD001 MES87 026 3,000 PZ 8,400 25,20 </t>
  </si>
  <si>
    <t xml:space="preserve">250 OCLKD001 MES88 347 3,000 PZ 8,400 25,20 </t>
  </si>
  <si>
    <t xml:space="preserve">251 OCLKD104 MES90 055 3,000 PZ 8,520 25,56 </t>
  </si>
  <si>
    <t xml:space="preserve">252 OCLKD104 MES92 499 3,000 PZ 18,960 56,88 </t>
  </si>
  <si>
    <t xml:space="preserve">253 HLESD000 ECS35 017 2,000 PZ 14,400 28,80 </t>
  </si>
  <si>
    <t xml:space="preserve">254 HLESD000 ECS35 026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</si>
  <si>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33 </t>
    </r>
  </si>
  <si>
    <t xml:space="preserve">255 OBAGB009 EVS15 371 2,000 PZ 24,000 48,00 </t>
  </si>
  <si>
    <t xml:space="preserve">256 OBAGP006 ECS54 215 2,000 PZ 18,120 36,24 </t>
  </si>
  <si>
    <t xml:space="preserve">257 HLESAD00 ECS00 483 6,000 PZ 4,560 27,36 </t>
  </si>
  <si>
    <t xml:space="preserve">258 HLESAE00 ECS00 479 2,000 PZ 4,560 9,12 </t>
  </si>
  <si>
    <t xml:space="preserve">259 OBAGS009 TES01 347 2,000 PZ 9,780 19,56 </t>
  </si>
  <si>
    <t xml:space="preserve">260 OBAGA000 ECS42 026 6,000 PZ 3,600 21,60 </t>
  </si>
  <si>
    <t xml:space="preserve">261 OBAGPA10 ECS35 076 2,000 PZ 6,720 13,44 </t>
  </si>
  <si>
    <t xml:space="preserve">262 OBAGB001 EVS00 055 1,000 PZ 14,400 14,40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</si>
  <si>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34 </t>
    </r>
  </si>
  <si>
    <t xml:space="preserve">263 OBAGB002 EVS00 158 1,000 PZ 14,400 14,40 </t>
  </si>
  <si>
    <t xml:space="preserve">264 OBAGB010 EVS00 158 1,000 PZ 13,080 13,08 </t>
  </si>
  <si>
    <t xml:space="preserve">265 OBAGB016 EVS00 158 2,000 PZ 12,600 25,20 </t>
  </si>
  <si>
    <t xml:space="preserve">266 OBAGB016 EVS00 078 2,000 PZ 12,600 25,20 </t>
  </si>
  <si>
    <t xml:space="preserve">267 OBAGB206 EVS00 075 2,000 PZ 4,800 9,60 </t>
  </si>
  <si>
    <t xml:space="preserve">268 OBAGB001 EVS00 422 2,000 PZ 14,400 28,80 </t>
  </si>
  <si>
    <t xml:space="preserve">269 OBAGB010 EVS00 026 2,000 PZ 13,080 26,16 </t>
  </si>
  <si>
    <t xml:space="preserve">270 OBAGB002 EVS00 347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</si>
  <si>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35 </t>
    </r>
  </si>
  <si>
    <t xml:space="preserve">271 OBAGB001 EVS00 486 2,000 PZ 14,400 28,80 </t>
  </si>
  <si>
    <t xml:space="preserve">272 OBAGB001 EVS00 485 2,000 PZ 14,400 28,80 </t>
  </si>
  <si>
    <t xml:space="preserve">273 OCLKE013 MAS00 060 6,000 PZ 1,920 11,52 </t>
  </si>
  <si>
    <t xml:space="preserve">274 OBAGS002 TESF8 480 2,000 PZ 10,800 21,60 </t>
  </si>
  <si>
    <t xml:space="preserve">275 OBAGS010 TESE3 227 2,000 PZ 12,720 25,44 </t>
  </si>
  <si>
    <r>
      <t xml:space="preserve">POCHETTE INTÉRIEURE FERMETURE ÉCLAIR O CITY EN TISSU NYC VICHY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</si>
  <si>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276 SHOUGG00 TESI1 227 2,000 PZ 13,440 26,88 </t>
  </si>
  <si>
    <r>
      <t xml:space="preserve">BANDOULIÈRE 80/120 + CLIP EN TISSU RUBAN NEW YORK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</si>
  <si>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277 SHOUWA00 ECS54 075 2,000 PZ 21,960 43,92 </t>
  </si>
  <si>
    <t xml:space="preserve">278 OBAGT001 TESF9 254 2,000 PZ 10,680 21,36 </t>
  </si>
  <si>
    <r>
      <t xml:space="preserve">REVERS O BAG EN TISSU DEAUVILLE À RAYURES NUANCÉES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</si>
  <si>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36 </t>
    </r>
  </si>
  <si>
    <t xml:space="preserve">279 HLESAE00 ECS00 075 4,000 PZ 4,560 18,24 </t>
  </si>
  <si>
    <t xml:space="preserve">280 OBAGP106 ECS52 076 2,000 PZ 15,600 31,20 </t>
  </si>
  <si>
    <t xml:space="preserve">281 OBAGS010 TESG5 476 2,000 PZ 12,600 25,20 </t>
  </si>
  <si>
    <r>
      <t xml:space="preserve">POCHETTE INTÉRIEURE FERMETURE ÉCLAIR O CITY EN TISSU CANVAS DÉTAIL RUBAN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</si>
  <si>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282 SHOUGG00 TESI2 227 2,000 PZ 13,440 26,88 </t>
  </si>
  <si>
    <r>
      <t xml:space="preserve">BANDOULIÈRE 80/120 + CLIP EN TISSU RUBAN NEW YORK À CHEVRONS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</si>
  <si>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283 OBAGS010 TESE7 055 2,000 PZ 15,600 31,20 </t>
  </si>
  <si>
    <r>
      <t xml:space="preserve">POCHETTE INTÉRIEURE FERMETURE ÉCLAIR O CITY EN TOILE NYLON + RUBAN LIVRE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</si>
  <si>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284 OBAGS002 TESG9 125 2,000 PZ 9,600 19,20 </t>
  </si>
  <si>
    <r>
      <t xml:space="preserve">POCHETTE INTÉRIEURE FERMETURE ÉCLAIR O BAG MINI EN TISSU FANTAISIE COQUELICOTS SUR RAYUR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</si>
  <si>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285 OBAGS001 TES01 422 2,000 PZ 7,800 15,60 </t>
  </si>
  <si>
    <t xml:space="preserve">286 HLESAD00 ECS00 017 6,000 PZ 4,560 27,36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</si>
  <si>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37 </t>
    </r>
  </si>
  <si>
    <t xml:space="preserve">287 SHOUWA00 ECS54 215 2,000 PZ 21,960 43,92 </t>
  </si>
  <si>
    <t xml:space="preserve">288 OCLKD001 MES83 134 3,000 PZ 9,360 28,08 </t>
  </si>
  <si>
    <r>
      <t xml:space="preserve">O CLOCK MÉCANISME URBAN DECOR MEADOWS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</si>
  <si>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289 OCLKD101 MES85 075 3,000 PZ 9,000 27,00 </t>
  </si>
  <si>
    <t xml:space="preserve">290 OCLKD101 MES85 130 3,000 PZ 9,000 27,00 </t>
  </si>
  <si>
    <t xml:space="preserve">291 OBAGPA10 ECS35 479 2,000 PZ 6,720 13,44 </t>
  </si>
  <si>
    <t xml:space="preserve">292 OBAGB010 EVS00 017 1,000 PZ 13,080 13,08 </t>
  </si>
  <si>
    <t xml:space="preserve">293 OBAGB001 EVS00 038 2,000 PZ 14,400 28,80 </t>
  </si>
  <si>
    <t xml:space="preserve">294 OBAGB001 EVS00 158 1,000 PZ 14,400 14,40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</si>
  <si>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38 </t>
    </r>
  </si>
  <si>
    <t xml:space="preserve">295 OBAGB009 EVS00 076 2,000 PZ 14,400 28,80 </t>
  </si>
  <si>
    <t xml:space="preserve">296 OBAGB206 EVS00 158 1,000 PZ 4,800 4,80 </t>
  </si>
  <si>
    <t xml:space="preserve">297 OBAGB010 EVS00 075 2,000 PZ 13,080 26,16 </t>
  </si>
  <si>
    <t xml:space="preserve">298 OBAGB009 EVS00 347 2,000 PZ 14,400 28,80 </t>
  </si>
  <si>
    <t xml:space="preserve">299 OBAGB016 EVS00 371 2,000 PZ 12,600 25,20 </t>
  </si>
  <si>
    <t xml:space="preserve">300 OBAGB002 EVS00 026 2,000 PZ 14,400 28,80 </t>
  </si>
  <si>
    <t xml:space="preserve">301 OCLKE013 MAS00 059 6,000 PZ 1,920 11,52 </t>
  </si>
  <si>
    <t xml:space="preserve">302 OCLKSB01 INS00 063 6,000 PZ 2,520 15,12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</si>
  <si>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39 </t>
    </r>
  </si>
  <si>
    <t xml:space="preserve">303 OBAGB009 EVS00 479 2,000 PZ 14,400 28,80 </t>
  </si>
  <si>
    <t xml:space="preserve">304 OBAGS016 TESF8 480 2,000 PZ 11,880 23,76 </t>
  </si>
  <si>
    <t xml:space="preserve">305 ACCEC002 ECS03 133 2,000 PZ 7,080 14,16 </t>
  </si>
  <si>
    <t xml:space="preserve">306 HLESAD00 ECS00 055 8,000 PZ 4,560 36,48 </t>
  </si>
  <si>
    <t xml:space="preserve">307 OBAGS001 TESG3 480 2,000 PZ 11,880 23,76 </t>
  </si>
  <si>
    <r>
      <t xml:space="preserve">POCHETTE INTÉRIEURE FERMETURE ÉCLAIR O BAG EN TISSU DEAUVILLE À RAYURES SERRÉES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</si>
  <si>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308 OBAGS001 TESF9 254 2,000 PZ 10,680 21,36 </t>
  </si>
  <si>
    <r>
      <t xml:space="preserve">POCHETTE INTÉRIEURE FERMETURE ÉCLAIR O BAG EN TISSU DEAUVILLE À RAYURES NUANCÉES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</si>
  <si>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309 OBAGS001 TESG9 125 2,000 PZ 9,600 19,20 </t>
  </si>
  <si>
    <r>
      <t xml:space="preserve">POCHETTE INTÉRIEURE FERMETURE ÉCLAIR O BAG EN TISSU FANTAISIE COQUELICOTS SUR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</si>
  <si>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310 OBAGS017 TESG3 480 2,000 PZ 10,800 21,60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</si>
  <si>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40 </t>
    </r>
  </si>
  <si>
    <t xml:space="preserve">311 OBAGT001 TESH1 008 2,000 PZ 12,720 25,44 </t>
  </si>
  <si>
    <r>
      <t xml:space="preserve">REVERS O BAG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</si>
  <si>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312 HLESG000 ROS04 500 3,000 PZ 7,800 23,40 </t>
  </si>
  <si>
    <r>
      <t xml:space="preserve">ANSES LONGUES EN CORDE TRICOLORE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5609000000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</si>
  <si>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313 HLESGC00 ECS54 215 2,000 PZ 16,320 32,64 </t>
  </si>
  <si>
    <t xml:space="preserve">314 OBAGS002 TESE5 036 2,000 PZ 10,800 21,60 </t>
  </si>
  <si>
    <r>
      <t xml:space="preserve">POCHETTE INTÉRIEURE FERMETURE ÉCLAIR O BAG MINI EN TISSU NYC LOSANGES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</si>
  <si>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315 OBAGS002 TES01 130 2,000 PZ 7,080 14,16 </t>
  </si>
  <si>
    <t xml:space="preserve">316 OBAGP106 ECS55 075 2,000 PZ 19,320 38,64 </t>
  </si>
  <si>
    <t xml:space="preserve">317 SHOUWA00 ECS55 479 2,000 PZ 20,040 40,08 </t>
  </si>
  <si>
    <t xml:space="preserve">318 OBAGB002 EVS18 076 2,000 PZ 15,600 31,20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</si>
  <si>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41 </t>
    </r>
  </si>
  <si>
    <t xml:space="preserve">319 OBAGB024 EVS00 371 2,000 PZ 4,800 9,60 </t>
  </si>
  <si>
    <t xml:space="preserve">320 HLESD000 ECS35 076 2,000 PZ 14,400 28,80 </t>
  </si>
  <si>
    <t xml:space="preserve">321 OBAGB002 EVS18 422 2,000 PZ 15,600 31,20 </t>
  </si>
  <si>
    <t xml:space="preserve">322 OBAGS010 TES01 347 2,000 PZ 9,360 18,72 </t>
  </si>
  <si>
    <t xml:space="preserve">323 OBAGS016 TESE6 036 2,000 PZ 11,880 23,76 </t>
  </si>
  <si>
    <t xml:space="preserve">324 OBAGA000 ECS42 076 6,000 PZ 3,600 21,60 </t>
  </si>
  <si>
    <t xml:space="preserve">325 ACCEC002 ECS65 036 2,000 PZ 7,800 15,60 </t>
  </si>
  <si>
    <t xml:space="preserve">326 ACCEP014 ECS35 036 2,000 PZ 9,600 19,20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</si>
  <si>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42 </t>
    </r>
  </si>
  <si>
    <t xml:space="preserve">327 OCLKD001 MES86 055 3,000 PZ 8,400 25,20 </t>
  </si>
  <si>
    <t xml:space="preserve">328 OCLKD001 MES86 076 3,000 PZ 8,400 25,20 </t>
  </si>
  <si>
    <t xml:space="preserve">329 OCLKD001 MES87 422 3,000 PZ 8,400 25,20 </t>
  </si>
  <si>
    <t xml:space="preserve">330 OCLKD104 MES92 498 3,000 PZ 18,960 56,88 </t>
  </si>
  <si>
    <t xml:space="preserve">331 OBAGPA24 TESF5 441 2,000 PZ 15,600 31,20 </t>
  </si>
  <si>
    <r>
      <t xml:space="preserve">RABAT TOURNIQUET O POCKET EN MICRO TISSU LUXURY DRIPPING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</si>
  <si>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332 OCLKD001 MES80 347 3,000 PZ 9,000 27,00 </t>
  </si>
  <si>
    <r>
      <t xml:space="preserve">O CLOCK MÉCANISME DEAUVILLE LINES + FLOWERS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</si>
  <si>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333 OCLKD001 MES80 484 3,000 PZ 9,000 27,00 </t>
  </si>
  <si>
    <t xml:space="preserve">334 OCLKD001 MES81 026 3,000 PZ 9,000 27,00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</si>
  <si>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43 </t>
    </r>
  </si>
  <si>
    <t xml:space="preserve">335 OBAGB016 EVS19 371 2,000 PZ 13,800 27,60 </t>
  </si>
  <si>
    <t xml:space="preserve">336 OBAGS016 TES01 075 2,000 PZ 10,800 21,60 </t>
  </si>
  <si>
    <t xml:space="preserve">337 ACCEP014 ECS35 371 2,000 PZ 9,600 19,20 </t>
  </si>
  <si>
    <t xml:space="preserve">338 OBAGB009 EVS00 038 2,000 PZ 14,400 28,80 </t>
  </si>
  <si>
    <t xml:space="preserve">339 OBAGB017 EVS00 055 2,000 PZ 11,040 22,08 </t>
  </si>
  <si>
    <t xml:space="preserve">340 OBAGB002 EVS00 038 2,000 PZ 14,400 28,80 </t>
  </si>
  <si>
    <t xml:space="preserve">341 OBAGB206 EVS00 371 1,000 PZ 4,800 4,80 </t>
  </si>
  <si>
    <t xml:space="preserve">342 OBAGB001 EVS00 075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</si>
  <si>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44 </t>
    </r>
  </si>
  <si>
    <t xml:space="preserve">343 OBAGB009 EVS00 078 1,000 PZ 14,400 14,40 </t>
  </si>
  <si>
    <t xml:space="preserve">344 OBAGB010 EVS00 071 1,000 PZ 13,080 13,08 </t>
  </si>
  <si>
    <t xml:space="preserve">345 OBAGB017 EVS00 371 2,000 PZ 11,040 22,08 </t>
  </si>
  <si>
    <t xml:space="preserve">346 OBAGB001 EVS00 347 3,000 PZ 14,400 43,20 </t>
  </si>
  <si>
    <t xml:space="preserve">347 OBAGB002 EVS00 479 2,000 PZ 14,400 28,80 </t>
  </si>
  <si>
    <t xml:space="preserve">348 SHOUBG00 ECS35 017 6,000 PZ 7,200 43,20 </t>
  </si>
  <si>
    <t xml:space="preserve">349 OBAGS017 TESE3 227 2,000 PZ 10,800 21,60 </t>
  </si>
  <si>
    <r>
      <t xml:space="preserve">POCHETTE INTÉRIEURE FERMETURE ÉCLAIR O MOON LIGHT EN TISSU NYC VICHY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</si>
  <si>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350 OBAGB016 EVS00 479 2,000 PZ 12,600 25,20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</si>
  <si>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45 </t>
    </r>
  </si>
  <si>
    <t xml:space="preserve">351 OBAGT001 TESE3 227 2,000 PZ 10,800 21,60 </t>
  </si>
  <si>
    <r>
      <t xml:space="preserve">REVERS O BAG EN TISSU NYC VICHY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</si>
  <si>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352 ACCEC002 ECS03 422 2,000 PZ 7,080 14,16 </t>
  </si>
  <si>
    <t xml:space="preserve">353 SHOUGH00 TESI3 472 2,000 PZ 13,440 26,88 </t>
  </si>
  <si>
    <t xml:space="preserve">354 ACCEC002 ECS03 076 2,000 PZ 7,080 14,16 </t>
  </si>
  <si>
    <t xml:space="preserve">355 OBAGS016 TESG9 125 2,000 PZ 11,880 23,76 </t>
  </si>
  <si>
    <r>
      <t xml:space="preserve">POCHETTE INTÉRIEURE FERMETURE ÉCLAIR O MOON EN TISSU FANTAISIE COQUELICOTS SUR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</si>
  <si>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356 SHOUBG00 MAS10 055 3,000 PZ 7,200 21,60 </t>
  </si>
  <si>
    <r>
      <t xml:space="preserve">BANDOULIÈRE /BRETELLE SLIM 140 EN PVC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</si>
  <si>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357 OBAGS001 TESG3 481 2,000 PZ 11,880 23,76 </t>
  </si>
  <si>
    <t xml:space="preserve">358 OBAGB206 EVS00 026 2,000 PZ 4,800 9,60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</si>
  <si>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46 </t>
    </r>
  </si>
  <si>
    <t xml:space="preserve">359 OBAGB024 EVS00 076 2,000 PZ 4,800 9,60 </t>
  </si>
  <si>
    <t xml:space="preserve">360 SHOUWA00 ECS51 371 2,000 PZ 18,120 36,24 </t>
  </si>
  <si>
    <t xml:space="preserve">361 OBAGS017 TESE6 036 2,000 PZ 11,880 23,76 </t>
  </si>
  <si>
    <t xml:space="preserve">362 ACCEP014 ECS35 017 2,000 PZ 9,600 19,20 </t>
  </si>
  <si>
    <t xml:space="preserve">363 OBAGS001 TESG2 017 2,000 PZ 10,800 21,60 </t>
  </si>
  <si>
    <t xml:space="preserve">364 OBAGS010 TESG2 017 2,000 PZ 14,400 28,80 </t>
  </si>
  <si>
    <r>
      <t xml:space="preserve">POCHETTE INTÉRIEURE FERMETURE ÉCLAIR O CITY EN TISSU CANVAS + RUBAN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</si>
  <si>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365 OBAGS010 TESF8 481 2,000 PZ 12,720 25,44 </t>
  </si>
  <si>
    <t xml:space="preserve">366 OBAGP006 TESF8 481 2,000 PZ 11,880 23,76 </t>
  </si>
  <si>
    <t xml:space="preserve">Client </t>
  </si>
  <si>
    <t xml:space="preserve">Facture pro forma </t>
  </si>
  <si>
    <t xml:space="preserve">Pag 47 </t>
  </si>
  <si>
    <t xml:space="preserve">Document Date doc. Client dest. </t>
  </si>
  <si>
    <r>
      <t xml:space="preserve">N° Com </t>
    </r>
    <r>
      <rPr>
        <sz val="7"/>
        <color rgb="FF000000"/>
        <rFont val="Arial"/>
      </rPr>
      <t xml:space="preserve">// </t>
    </r>
  </si>
  <si>
    <t xml:space="preserve">367 000_SPTRASP 1,000 NR 200,000 200,00 </t>
  </si>
  <si>
    <t xml:space="preserve">DÉBIT FRAIS DE TRANSPORT </t>
  </si>
  <si>
    <t xml:space="preserve">Récapitulatifs douaniers Catégorie </t>
  </si>
  <si>
    <t xml:space="preserve">420222100 420222909 420292110 420292919 560900000 630790981 630790989 790700000 790900000 91021100 911180000 911390009 </t>
  </si>
  <si>
    <t xml:space="preserve">Echéances </t>
  </si>
  <si>
    <t xml:space="preserve">Um poids </t>
  </si>
  <si>
    <t xml:space="preserve">KG </t>
  </si>
  <si>
    <t xml:space="preserve">Total </t>
  </si>
  <si>
    <t xml:space="preserve">Poids Um qté </t>
  </si>
  <si>
    <t xml:space="preserve">19,164 PZ 19,164 </t>
  </si>
  <si>
    <t xml:space="preserve">74,507 PZ 74,507 </t>
  </si>
  <si>
    <t xml:space="preserve">23,118 PZ 23,118 </t>
  </si>
  <si>
    <t xml:space="preserve">3,48 PZ 3,48 </t>
  </si>
  <si>
    <t xml:space="preserve">2,478 PZ 2,478 </t>
  </si>
  <si>
    <t xml:space="preserve">2,48 PZ 2,48 </t>
  </si>
  <si>
    <t xml:space="preserve">3,764 PZ 3,764 </t>
  </si>
  <si>
    <t xml:space="preserve">1,128 PZ 1,128 </t>
  </si>
  <si>
    <t xml:space="preserve">,168 PZ ,168 </t>
  </si>
  <si>
    <t xml:space="preserve">2,1 PZ 2,1 </t>
  </si>
  <si>
    <t xml:space="preserve">,939 PZ ,939 </t>
  </si>
  <si>
    <t xml:space="preserve">12,6 PZ 12,6 </t>
  </si>
  <si>
    <t xml:space="preserve">Récapitulatifs </t>
  </si>
  <si>
    <t xml:space="preserve">Qté </t>
  </si>
  <si>
    <t xml:space="preserve">249 188 156 </t>
  </si>
  <si>
    <t xml:space="preserve">7 8 9 </t>
  </si>
  <si>
    <t xml:space="preserve">50 32 34 12 42 78 36 </t>
  </si>
  <si>
    <t xml:space="preserve">Valeur </t>
  </si>
  <si>
    <t xml:space="preserve">2175,72 2175,72 </t>
  </si>
  <si>
    <t xml:space="preserve">2375,76 2375,76 </t>
  </si>
  <si>
    <t xml:space="preserve">1673,04 1673,04 </t>
  </si>
  <si>
    <t xml:space="preserve">205,8 205,8 </t>
  </si>
  <si>
    <t xml:space="preserve">211,44 211,44 </t>
  </si>
  <si>
    <t xml:space="preserve">90,36 90,36 </t>
  </si>
  <si>
    <t xml:space="preserve">683,28 683,28 </t>
  </si>
  <si>
    <t xml:space="preserve">463,2 463,2 </t>
  </si>
  <si>
    <t xml:space="preserve">250,8 250,8 </t>
  </si>
  <si>
    <t xml:space="preserve">54,72 54,72 </t>
  </si>
  <si>
    <t xml:space="preserve">80,64 80,64 </t>
  </si>
  <si>
    <t xml:space="preserve">771,84 771,84 </t>
  </si>
  <si>
    <t xml:space="preserve">90,72 90,72 </t>
  </si>
  <si>
    <t xml:space="preserve">Date éch. </t>
  </si>
  <si>
    <t xml:space="preserve">Montant </t>
  </si>
  <si>
    <t xml:space="preserve">9.327,32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</si>
  <si>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48 </t>
    </r>
  </si>
  <si>
    <t xml:space="preserve">Totaux </t>
  </si>
  <si>
    <t xml:space="preserve">Montants </t>
  </si>
  <si>
    <r>
      <t xml:space="preserve">Montant brut </t>
    </r>
    <r>
      <rPr>
        <sz val="7"/>
        <color rgb="FF000000"/>
        <rFont val="Arial"/>
      </rPr>
      <t xml:space="preserve">0,00 </t>
    </r>
    <r>
      <rPr>
        <sz val="7"/>
        <color rgb="FF000000"/>
        <rFont val="Arial,Bold"/>
      </rPr>
      <t xml:space="preserve">Brut frais </t>
    </r>
  </si>
  <si>
    <r>
      <t xml:space="preserve">0,00 </t>
    </r>
    <r>
      <rPr>
        <sz val="7"/>
        <color rgb="FF000000"/>
        <rFont val="Arial,Bold"/>
      </rPr>
      <t xml:space="preserve">Montant net de tout </t>
    </r>
  </si>
  <si>
    <t xml:space="preserve">Tot.remises </t>
  </si>
  <si>
    <t xml:space="preserve">9.127,32 </t>
  </si>
  <si>
    <r>
      <t xml:space="preserve">200,00 </t>
    </r>
    <r>
      <rPr>
        <sz val="9"/>
        <color rgb="FF000000"/>
        <rFont val="Arial,Bold"/>
      </rPr>
      <t xml:space="preserve">Total Facture </t>
    </r>
    <r>
      <rPr>
        <sz val="7"/>
        <color rgb="FF000000"/>
        <rFont val="Arial"/>
      </rPr>
      <t>9.127,32</t>
    </r>
  </si>
  <si>
    <t>Tot. remises</t>
  </si>
  <si>
    <r>
      <t xml:space="preserve">Tot.remise en-tête </t>
    </r>
    <r>
      <rPr>
        <sz val="7"/>
        <color rgb="FF000000"/>
        <rFont val="Arial"/>
      </rPr>
      <t xml:space="preserve">0,00 </t>
    </r>
  </si>
  <si>
    <t xml:space="preserve">9.327,32 EUR </t>
  </si>
  <si>
    <r>
      <t xml:space="preserve">0,00 </t>
    </r>
    <r>
      <rPr>
        <sz val="7"/>
        <color rgb="FF000000"/>
        <rFont val="Arial,Bold"/>
      </rPr>
      <t xml:space="preserve">Tot.cadeaux </t>
    </r>
    <r>
      <rPr>
        <sz val="7"/>
        <color rgb="FF000000"/>
        <rFont val="Arial"/>
      </rPr>
      <t xml:space="preserve">0,00 </t>
    </r>
  </si>
  <si>
    <t xml:space="preserve">Acomptes </t>
  </si>
  <si>
    <t>n°</t>
  </si>
  <si>
    <t>Decription</t>
  </si>
  <si>
    <t>Prix U</t>
  </si>
  <si>
    <t>Prix T</t>
  </si>
  <si>
    <t>Prix T2</t>
  </si>
  <si>
    <t>Check</t>
  </si>
  <si>
    <r>
      <t xml:space="preserve">Année </t>
    </r>
    <r>
      <rPr>
        <sz val="7"/>
        <color rgb="FF000000"/>
        <rFont val="Arial"/>
      </rPr>
      <t xml:space="preserve">2018 </t>
    </r>
    <r>
      <rPr>
        <sz val="7"/>
        <color rgb="FF000000"/>
        <rFont val="Arial,Bold"/>
      </rPr>
      <t xml:space="preserve">Index </t>
    </r>
    <r>
      <rPr>
        <sz val="7"/>
        <color rgb="FF000000"/>
        <rFont val="Arial"/>
      </rPr>
      <t xml:space="preserve">50 </t>
    </r>
    <r>
      <rPr>
        <sz val="7"/>
        <color rgb="FF000000"/>
        <rFont val="Arial,Bold"/>
      </rPr>
      <t xml:space="preserve">N. </t>
    </r>
    <r>
      <rPr>
        <sz val="7"/>
        <color rgb="FF000000"/>
        <rFont val="Arial"/>
      </rPr>
      <t xml:space="preserve">46 </t>
    </r>
    <r>
      <rPr>
        <sz val="7"/>
        <color rgb="FF000000"/>
        <rFont val="Arial,Bold"/>
      </rPr>
      <t xml:space="preserve">Date </t>
    </r>
    <r>
      <rPr>
        <sz val="7"/>
        <color rgb="FF000000"/>
        <rFont val="Arial"/>
      </rPr>
      <t xml:space="preserve">25/01/2018 </t>
    </r>
    <r>
      <rPr>
        <sz val="7"/>
        <color rgb="FF000000"/>
        <rFont val="Arial,Bold"/>
      </rPr>
      <t>Échéance</t>
    </r>
  </si>
  <si>
    <t xml:space="preserve">Total Facture 13.630,88 EUR </t>
  </si>
  <si>
    <r>
      <t xml:space="preserve">Document Date doc. Client dest. </t>
    </r>
    <r>
      <rPr>
        <sz val="7"/>
        <color rgb="FF000000"/>
        <rFont val="Arial"/>
      </rPr>
      <t xml:space="preserve">002488 O BAG STORE BLAGNAC </t>
    </r>
  </si>
  <si>
    <r>
      <t xml:space="preserve">N° Com </t>
    </r>
    <r>
      <rPr>
        <sz val="7"/>
        <color rgb="FF000000"/>
        <rFont val="Arial"/>
      </rPr>
      <t xml:space="preserve">2018 01/OBAG/1280 </t>
    </r>
  </si>
  <si>
    <t xml:space="preserve">1 OBAGS001 TES01 026 3,000 PZ 7,800 23,40 </t>
  </si>
  <si>
    <t xml:space="preserve">2 HLESMD00 ECS46 076 4,000 PZ 12,720 50,88 </t>
  </si>
  <si>
    <t xml:space="preserve">3 OBAGB024 EVS00 347 3,000 PZ 4,800 14,40 </t>
  </si>
  <si>
    <t xml:space="preserve">4 SHOUGH00 TESI3 470 2,000 PZ 13,440 26,88 </t>
  </si>
  <si>
    <t xml:space="preserve">5 SHOUWA00 ECS51 422 2,000 PZ 18,120 36,24 </t>
  </si>
  <si>
    <t xml:space="preserve">6 OBAGS010 TES01 347 2,000 PZ 9,360 18,72 </t>
  </si>
  <si>
    <t xml:space="preserve">7 OBAGPA06 TESF1 422 2,000 PZ 12,720 25,44 </t>
  </si>
  <si>
    <t xml:space="preserve">2018 01/OBAG/1280 </t>
  </si>
  <si>
    <t xml:space="preserve">8 SHOUCF00 ECS35 008 6,000 PZ 11,880 71,28 </t>
  </si>
  <si>
    <t xml:space="preserve">9 ACCEC002 ECS65 036 2,000 PZ 7,800 15,60 </t>
  </si>
  <si>
    <t xml:space="preserve">10 HLESD000 ECS35 026 3,000 PZ 14,400 43,20 </t>
  </si>
  <si>
    <t xml:space="preserve">11 SHOUBG00 ECS35 479 2,000 PZ 7,200 14,40 </t>
  </si>
  <si>
    <t xml:space="preserve">12 OBAGS010 TESF8 481 2,000 PZ 12,720 25,44 </t>
  </si>
  <si>
    <t xml:space="preserve">13 OBAGS010 TES01 026 2,000 PZ 9,360 18,72 </t>
  </si>
  <si>
    <t xml:space="preserve">14 OCLKD001 MES81 017 3,000 PZ 9,000 27,00 </t>
  </si>
  <si>
    <t xml:space="preserve">15 OHUGI002 ECS70 026 3,000 PZ 19,320 57,96 </t>
  </si>
  <si>
    <r>
      <t xml:space="preserve">O HUG INTÉRIEUR PORTEFEUILLE FEMME EN FAUX CUIR AVEC BRISÉ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4202321000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INDIA </t>
    </r>
  </si>
  <si>
    <t xml:space="preserve">16 OBAGS121 TESG8 061 2,000 PZ 15,600 31,20 </t>
  </si>
  <si>
    <t xml:space="preserve">17 OCLKD001 MES84 075 3,000 PZ 8,400 25,20 </t>
  </si>
  <si>
    <t xml:space="preserve">18 OCLKD001 MES84 130 3,000 PZ 8,400 25,20 </t>
  </si>
  <si>
    <t xml:space="preserve">19 OBAGPA10 ECS35 076 2,000 PZ 6,720 13,44 </t>
  </si>
  <si>
    <t xml:space="preserve">20 ACCEP014 ECS35 371 3,000 PZ 9,600 28,80 </t>
  </si>
  <si>
    <t xml:space="preserve">21 SHOUG617 ECS00 055 10,000 PZ 9,600 96,00 </t>
  </si>
  <si>
    <t xml:space="preserve">22 OBAGB001 EVS00 076 3,000 PZ 14,400 43,20 </t>
  </si>
  <si>
    <t xml:space="preserve">23 OBAGB009 EVS00 158 1,000 PZ 14,400 14,40 </t>
  </si>
  <si>
    <t xml:space="preserve">24 OBAGB010 EVS00 158 1,000 PZ 13,080 13,08 </t>
  </si>
  <si>
    <t xml:space="preserve">25 OBAGB206 EVS00 078 1,000 PZ 4,800 4,80 </t>
  </si>
  <si>
    <t xml:space="preserve">26 OBAGB206 EVS00 133 1,000 PZ 4,800 4,80 </t>
  </si>
  <si>
    <t xml:space="preserve">27 OBAGB016 EVS00 158 2,000 PZ 12,600 25,20 </t>
  </si>
  <si>
    <t xml:space="preserve">28 OBAGB002 EVS00 075 3,000 PZ 14,400 43,20 </t>
  </si>
  <si>
    <t xml:space="preserve">29 OBAGB002 EVS00 422 3,000 PZ 14,400 43,20 </t>
  </si>
  <si>
    <t xml:space="preserve">30 OBAGS121 TES01 055 3,000 PZ 7,800 23,40 </t>
  </si>
  <si>
    <r>
      <t xml:space="preserve">POCHETTE INTÉRIEURE À COULISSE O SWING EN TISSU CANVAS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</si>
  <si>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31 OBAGB010 EVS00 422 2,000 PZ 13,080 26,16 </t>
  </si>
  <si>
    <t xml:space="preserve">32 OBAGB021 EVS03 026 3,000 PZ 11,880 35,64 </t>
  </si>
  <si>
    <r>
      <t xml:space="preserve">CORPS O SWING EVA COMPOUND EFFET OSIER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</si>
  <si>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33 OBAGB001 EVS00 347 4,000 PZ 14,400 57,60 </t>
  </si>
  <si>
    <t xml:space="preserve">34 OBAGB002 EVS00 483 3,000 PZ 14,400 43,20 </t>
  </si>
  <si>
    <t xml:space="preserve">35 OBAGB001 EVS00 486 3,000 PZ 14,400 43,20 </t>
  </si>
  <si>
    <t xml:space="preserve">36 OBAGB001 EVS00 479 3,000 PZ 14,400 43,20 </t>
  </si>
  <si>
    <t xml:space="preserve">37 OCLKE013 MAS00 036 6,000 PZ 1,920 11,52 </t>
  </si>
  <si>
    <t xml:space="preserve">38 ACCEF001 TESF4 473 4,000 PZ 7,080 28,32 </t>
  </si>
  <si>
    <r>
      <t xml:space="preserve">BANDEAU BRACELET FOULARD TISSU LUXURY CÔTELÉ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7907000000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</si>
  <si>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39 SHOUGG00 TESI1 227 2,000 PZ 13,440 26,88 </t>
  </si>
  <si>
    <t xml:space="preserve">40 ACCEC002 ECS03 371 3,000 PZ 7,080 21,24 </t>
  </si>
  <si>
    <t xml:space="preserve">41 SHOUCF00 ECS35 076 4,000 PZ 11,880 47,52 </t>
  </si>
  <si>
    <t xml:space="preserve">42 OBAGB426 MAS09 055 3,000 PZ 29,400 88,20 </t>
  </si>
  <si>
    <t xml:space="preserve">43 ACCEC002 ECS03 089 2,000 PZ 7,080 14,16 </t>
  </si>
  <si>
    <t xml:space="preserve">44 HLESZ817 TESI4 241 4,000 PZ 18,000 72,00 </t>
  </si>
  <si>
    <r>
      <t xml:space="preserve">ANSES SPORTY + BRETELLE O SQUARE TISSU RUBAN MARINA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</si>
  <si>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45 OBAGS001 TES01 075 3,000 PZ 7,800 23,40 </t>
  </si>
  <si>
    <t xml:space="preserve">46 OBAGB024 EVS00 076 3,000 PZ 4,800 14,40 </t>
  </si>
  <si>
    <t xml:space="preserve">47 SHOUGH00 TESI3 471 2,000 PZ 13,440 26,88 </t>
  </si>
  <si>
    <t xml:space="preserve">48 SHOUWA00 ECS51 076 2,000 PZ 18,120 36,24 </t>
  </si>
  <si>
    <t xml:space="preserve">49 ACCEC002 ECS65 422 2,000 PZ 7,800 15,60 </t>
  </si>
  <si>
    <t xml:space="preserve">50 OBAGS002 TESG2 076 2,000 PZ 9,720 19,44 </t>
  </si>
  <si>
    <t xml:space="preserve">51 OBAGS010 TESG2 017 2,000 PZ 14,400 28,80 </t>
  </si>
  <si>
    <t xml:space="preserve">52 OBAGS018 TESG2 076 2,000 PZ 12,720 25,44 </t>
  </si>
  <si>
    <r>
      <t xml:space="preserve">POCHETTE INTÉRIEURE FERMETURE ÉCLAIR O BAG BEACH MINI EN TISSU CANVAS + RUBAN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</si>
  <si>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53 OBAGB021 EVS03 479 3,000 PZ 11,880 35,64 </t>
  </si>
  <si>
    <t xml:space="preserve">54 OBAGS009 TES01 075 2,000 PZ 9,780 19,56 </t>
  </si>
  <si>
    <t xml:space="preserve">55 OBAGS016 TES01 075 2,000 PZ 10,800 21,60 </t>
  </si>
  <si>
    <t xml:space="preserve">56 HLESAE00 ECS00 479 2,000 PZ 4,560 9,12 </t>
  </si>
  <si>
    <t xml:space="preserve">57 SHOUBG00 ECS35 055 2,000 PZ 7,200 14,40 </t>
  </si>
  <si>
    <t xml:space="preserve">58 OBAGA000 ECS40 483 6,000 PZ 3,000 18,00 </t>
  </si>
  <si>
    <t xml:space="preserve">59 OBAGB206 EVS00 055 1,000 PZ 4,800 4,80 </t>
  </si>
  <si>
    <t xml:space="preserve">60 OBAGB206 EVS00 371 1,000 PZ 4,800 4,80 </t>
  </si>
  <si>
    <t xml:space="preserve">61 OBAGB010 EVS00 075 2,000 PZ 13,080 26,16 </t>
  </si>
  <si>
    <t xml:space="preserve">62 OHUGB002 EVS06 075 3,000 PZ 6,600 19,80 </t>
  </si>
  <si>
    <r>
      <t xml:space="preserve">O HUG CORPS PORTEFEUILLE FEMME EVA COMPOUND TEXTURE GRECQUE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4202321000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</si>
  <si>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63 OBAGB019 EVS00 158 2,000 PZ 13,920 27,84 </t>
  </si>
  <si>
    <r>
      <t xml:space="preserve">CORPS O SQUARE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</si>
  <si>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64 OBAGB017 EVS00 158 2,000 PZ 11,040 22,08 </t>
  </si>
  <si>
    <t xml:space="preserve">65 OBAGB021 EVS03 055 2,000 PZ 11,880 23,76 </t>
  </si>
  <si>
    <t xml:space="preserve">66 OBAGB018 EVS03 371 3,000 PZ 11,880 35,64 </t>
  </si>
  <si>
    <r>
      <t xml:space="preserve">CORPS O BAG BEACH MINI EVA COMPOUND EFFET OSIER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</si>
  <si>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67 OBAGB018 EVS03 017 2,000 PZ 11,880 23,76 </t>
  </si>
  <si>
    <t xml:space="preserve">68 OBAGB009 EVS00 347 2,000 PZ 14,400 28,80 </t>
  </si>
  <si>
    <t xml:space="preserve">69 OBAGB017 EVS00 026 2,000 PZ 11,040 22,08 </t>
  </si>
  <si>
    <t xml:space="preserve">70 OBAGB019 EVS00 371 2,000 PZ 13,920 27,84 </t>
  </si>
  <si>
    <t xml:space="preserve">71 OCLKE013 MAS00 060 6,000 PZ 1,920 11,52 </t>
  </si>
  <si>
    <t xml:space="preserve">72 OCLKSB01 INS00 036 6,000 PZ 2,520 15,12 </t>
  </si>
  <si>
    <t xml:space="preserve">73 HLESD000 ECS35 055 4,000 PZ 14,400 57,60 </t>
  </si>
  <si>
    <t xml:space="preserve">74 OBAGS017 TESE3 227 2,000 PZ 10,800 21,60 </t>
  </si>
  <si>
    <t xml:space="preserve">75 OBAGT002 TESG3 480 2,000 PZ 10,800 21,60 </t>
  </si>
  <si>
    <t xml:space="preserve">76 ACCEP014 ECS35 055 4,000 PZ 9,600 38,40 </t>
  </si>
  <si>
    <t xml:space="preserve">77 OBAGS002 TESH2 036 2,000 PZ 12,720 25,44 </t>
  </si>
  <si>
    <r>
      <t xml:space="preserve">POCHETTE INTÉRIEURE FERMETURE ÉCLAIR O BAG MINI EN COTON MOTIF PAPILLONS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</si>
  <si>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78 OBAGS010 TESF8 480 2,000 PZ 12,720 25,44 </t>
  </si>
  <si>
    <t xml:space="preserve">79 OBAGPA06 TESE3 227 2,000 PZ 10,800 21,60 </t>
  </si>
  <si>
    <r>
      <t xml:space="preserve">RABAT TOURNIQUET O POCKET EN TISSU NYC VICHY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</si>
  <si>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80 OBAGS001 TESG3 480 2,000 PZ 11,880 23,76 </t>
  </si>
  <si>
    <t xml:space="preserve">81 OBAGT001 TESE3 227 2,000 PZ 10,800 21,60 </t>
  </si>
  <si>
    <t xml:space="preserve">82 OBAGT002 TESH1 008 2,000 PZ 12,720 25,44 </t>
  </si>
  <si>
    <t xml:space="preserve">83 OBAGS002 TESH1 008 2,000 PZ 9,720 19,44 </t>
  </si>
  <si>
    <t xml:space="preserve">84 OBAGS010 TESG5 476 2,000 PZ 12,600 25,20 </t>
  </si>
  <si>
    <t xml:space="preserve">85 OBAGS018 TESF9 254 2,000 PZ 13,440 26,88 </t>
  </si>
  <si>
    <r>
      <t xml:space="preserve">POCHETTE INTÉRIEURE FERMETURE ÉCLAIR O BAG BEACH MINI EN TISSU DEAUVILLE À RAYURES NUANC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</si>
  <si>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86 OBAGS121 TESF9 254 4,000 PZ 10,800 43,20 </t>
  </si>
  <si>
    <r>
      <t xml:space="preserve">POCHETTE INTÉRIEURE À COULISSE O SWING EN TISSU DEAUVILLE À RAYURES NUANCÉES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</si>
  <si>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87 SHOUBG00 ECS35 075 2,000 PZ 7,200 14,40 </t>
  </si>
  <si>
    <t xml:space="preserve">88 OBAGB426 TESG6 408 2,000 PZ 29,880 59,76 </t>
  </si>
  <si>
    <t xml:space="preserve">89 OBAGS118 TESE6 076 2,000 PZ 13,440 26,88 </t>
  </si>
  <si>
    <r>
      <t xml:space="preserve">POCHETTE INTÉRIEURE À COULISSE O BAG BEACH MINI EN TISSU NYC À RAYURES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</si>
  <si>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90 OBAGT002 TESE3 227 2,000 PZ 10,800 21,60 </t>
  </si>
  <si>
    <t xml:space="preserve">91 ACCEO001 TES23 009 3,000 PZ 7,800 23,40 </t>
  </si>
  <si>
    <t xml:space="preserve">92 HLESD200 ROS05 489 3,000 PZ 13,440 40,32 </t>
  </si>
  <si>
    <t xml:space="preserve">93 OBAGS016 TES01 076 2,000 PZ 10,800 21,60 </t>
  </si>
  <si>
    <t xml:space="preserve">94 SHOUGH00 TESI7 482 4,000 PZ 13,440 53,76 </t>
  </si>
  <si>
    <t xml:space="preserve">95 SHOUWA00 ECS55 075 3,000 PZ 20,040 60,12 </t>
  </si>
  <si>
    <t xml:space="preserve">96 SHOUWA00 ECS66 475 2,000 PZ 12,720 25,44 </t>
  </si>
  <si>
    <r>
      <t xml:space="preserve">BANDOULIÈRE 80 + GOUTTE TROUÉE EN FAUX CUIR + TISSU DEAUVILLE À RAYURES EFFET FLAMMÉ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</si>
  <si>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97 OBAGB001 EVS00 483 3,000 PZ 14,400 43,20 </t>
  </si>
  <si>
    <t xml:space="preserve">98 OBAGT002 TESG3 481 2,000 PZ 10,800 21,60 </t>
  </si>
  <si>
    <t xml:space="preserve">99 OBAGS001 TES01 422 2,000 PZ 7,800 15,60 </t>
  </si>
  <si>
    <t xml:space="preserve">100 OBAGS002 TES01 347 3,000 PZ 7,080 21,24 </t>
  </si>
  <si>
    <t xml:space="preserve">101 OBAGS002 TESE6 036 2,000 PZ 10,800 21,60 </t>
  </si>
  <si>
    <r>
      <t xml:space="preserve">POCHETTE INTÉRIEURE FERMETURE ÉCLAIR O BAG MINI EN TISSU NYC À RAYURES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</si>
  <si>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102 OBAGS002 TESE6 055 2,000 PZ 10,800 21,60 </t>
  </si>
  <si>
    <t xml:space="preserve">103 HLESD200 ROS05 008 6,000 PZ 13,440 80,64 </t>
  </si>
  <si>
    <t xml:space="preserve">104 HLESD200 ROS05 008 3,000 PZ 13,440 40,32 </t>
  </si>
  <si>
    <t xml:space="preserve">105 HLESD200 ROS05 017 3,000 PZ 13,440 40,32 </t>
  </si>
  <si>
    <t xml:space="preserve">106 OBAGS002 TES01 130 3,000 PZ 7,080 21,24 </t>
  </si>
  <si>
    <t xml:space="preserve">107 OBAGB002 EVS00 486 3,000 PZ 14,400 43,20 </t>
  </si>
  <si>
    <t xml:space="preserve">108 OBAGB024 EVS00 371 3,000 PZ 4,800 14,40 </t>
  </si>
  <si>
    <t xml:space="preserve">109 OBAGB002 EVS18 347 3,000 PZ 15,600 46,80 </t>
  </si>
  <si>
    <t xml:space="preserve">110 OBAGB024 EVS00 422 3,000 PZ 4,800 14,40 </t>
  </si>
  <si>
    <t xml:space="preserve">111 HLESAD00 ECS00 036 8,000 PZ 4,560 36,48 </t>
  </si>
  <si>
    <t xml:space="preserve">112 OBAGS016 TES26 008 2,000 PZ 11,400 22,80 </t>
  </si>
  <si>
    <t xml:space="preserve">113 OBAGPA06 TESF1 055 2,000 PZ 12,720 25,44 </t>
  </si>
  <si>
    <t xml:space="preserve">114 OBAGPA24 TESE8 227 2,000 PZ 12,600 25,20 </t>
  </si>
  <si>
    <t xml:space="preserve">115 OBAGA000 ECS42 036 6,000 PZ 3,600 21,60 </t>
  </si>
  <si>
    <t xml:space="preserve">116 OBAGA000 ECS42 422 6,000 PZ 3,600 21,60 </t>
  </si>
  <si>
    <t xml:space="preserve">117 OCLKD001 MES86 055 3,000 PZ 8,400 25,20 </t>
  </si>
  <si>
    <t xml:space="preserve">118 OCLKD104 MES90 008 3,000 PZ 8,520 25,56 </t>
  </si>
  <si>
    <t xml:space="preserve">119 OCLKD104 MES92 497 3,000 PZ 18,960 56,88 </t>
  </si>
  <si>
    <t xml:space="preserve">120 OBAGS001 TESG2 076 2,000 PZ 10,800 21,60 </t>
  </si>
  <si>
    <t xml:space="preserve">121 OBAGS009 TES01 026 2,000 PZ 9,780 19,56 </t>
  </si>
  <si>
    <t xml:space="preserve">122 OBAGS010 TESG2 076 2,000 PZ 14,400 28,80 </t>
  </si>
  <si>
    <t xml:space="preserve">123 ACCEO001 TES23 076 3,000 PZ 7,800 23,40 </t>
  </si>
  <si>
    <t xml:space="preserve">124 OCLKD001 MES81 026 3,000 PZ 9,000 27,00 </t>
  </si>
  <si>
    <t xml:space="preserve">125 OBAGB016 EVS19 483 2,000 PZ 13,800 27,60 </t>
  </si>
  <si>
    <t xml:space="preserve">126 OBAGP006 ECS54 215 2,000 PZ 18,120 36,24 </t>
  </si>
  <si>
    <t xml:space="preserve">127 OCLKD001 MES82 130 3,000 PZ 9,000 27,00 </t>
  </si>
  <si>
    <t xml:space="preserve">128 OBAGS009 TES01 422 2,000 PZ 9,780 19,56 </t>
  </si>
  <si>
    <t xml:space="preserve">129 OBAGB002 EVS00 485 3,000 PZ 14,400 43,20 </t>
  </si>
  <si>
    <t xml:space="preserve">130 OBAGB001 EVS00 071 1,000 PZ 14,400 14,40 </t>
  </si>
  <si>
    <t xml:space="preserve">131 OBAGB002 EVS00 071 1,000 PZ 14,400 14,40 </t>
  </si>
  <si>
    <t xml:space="preserve">132 OBAGB001 EVS00 017 1,000 PZ 14,400 14,40 </t>
  </si>
  <si>
    <t xml:space="preserve">133 OBAGB016 EVS00 071 2,000 PZ 12,600 25,20 </t>
  </si>
  <si>
    <t xml:space="preserve">134 OBAGS016 TES26 078 2,000 PZ 11,400 22,80 </t>
  </si>
  <si>
    <t xml:space="preserve">135 OBAGB001 EVS00 158 1,000 PZ 14,400 14,40 </t>
  </si>
  <si>
    <t xml:space="preserve">136 OBAGB002 EVS00 076 3,000 PZ 14,400 43,20 </t>
  </si>
  <si>
    <t xml:space="preserve">137 OBAGB009 EVS00 076 2,000 PZ 14,400 28,80 </t>
  </si>
  <si>
    <t xml:space="preserve">138 OBAGB010 EVS00 076 2,000 PZ 13,080 26,16 </t>
  </si>
  <si>
    <t xml:space="preserve">139 OBAGB019 EVS00 055 2,000 PZ 13,920 27,84 </t>
  </si>
  <si>
    <t xml:space="preserve">140 OBAGB019 EVS00 078 2,000 PZ 13,920 27,84 </t>
  </si>
  <si>
    <t xml:space="preserve">141 OBAGB206 EVS00 075 3,000 PZ 4,800 14,40 </t>
  </si>
  <si>
    <t xml:space="preserve">142 HLESMD00 ECS46 221 6,000 PZ 12,720 76,32 </t>
  </si>
  <si>
    <t xml:space="preserve">143 OBAGB010 EVS00 371 1,000 PZ 13,080 13,08 </t>
  </si>
  <si>
    <t xml:space="preserve">144 OBAGB016 EVS00 371 2,000 PZ 12,600 25,20 </t>
  </si>
  <si>
    <t xml:space="preserve">145 OBAGB017 EVS00 075 2,000 PZ 11,040 22,08 </t>
  </si>
  <si>
    <t xml:space="preserve">146 OBAGS002 TESG2 130 2,000 PZ 9,720 19,44 </t>
  </si>
  <si>
    <t xml:space="preserve">147 OBAGS016 TESH1 008 2,000 PZ 12,720 25,44 </t>
  </si>
  <si>
    <t xml:space="preserve">148 OBAGB206 EVS00 479 3,000 PZ 4,800 14,40 </t>
  </si>
  <si>
    <t xml:space="preserve">149 OBAGS016 TESF8 480 2,000 PZ 11,880 23,76 </t>
  </si>
  <si>
    <t xml:space="preserve">150 SHOUC106 ECS16 483 3,000 PZ 9,600 28,80 </t>
  </si>
  <si>
    <t xml:space="preserve">151 ACCEC002 ECS03 036 2,000 PZ 7,080 14,16 </t>
  </si>
  <si>
    <t xml:space="preserve">152 ACCEC002 ECS03 133 2,000 PZ 7,080 14,16 </t>
  </si>
  <si>
    <t xml:space="preserve">153 HLESAE00 ECS00 075 6,000 PZ 4,560 27,36 </t>
  </si>
  <si>
    <t xml:space="preserve">154 OBAGS018 TESG2 130 2,000 PZ 12,720 25,44 </t>
  </si>
  <si>
    <t xml:space="preserve">155 OBAGS001 TES01 076 2,000 PZ 7,800 15,60 </t>
  </si>
  <si>
    <t xml:space="preserve">156 OBAGS121 TES13 017 4,000 PZ 14,400 57,60 </t>
  </si>
  <si>
    <r>
      <t xml:space="preserve">POCHETTE INTÉRIEURE À COULISSE O SWING EN TISSU DENIM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</si>
  <si>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157 OBAGT001 TESE8 227 2,000 PZ 14,400 28,80 </t>
  </si>
  <si>
    <t xml:space="preserve">158 SHOUGH00 TESI3 472 3,000 PZ 13,440 40,32 </t>
  </si>
  <si>
    <t xml:space="preserve">159 ACCEC002 ECS65 055 2,000 PZ 7,800 15,60 </t>
  </si>
  <si>
    <t xml:space="preserve">160 HLESD200 ROS05 489 2,000 PZ 13,440 26,88 </t>
  </si>
  <si>
    <t xml:space="preserve">161 OBAGP106 TESG5 476 2,000 PZ 14,400 28,80 </t>
  </si>
  <si>
    <t xml:space="preserve">162 HLESG000 ROS04 500 4,000 PZ 7,800 31,20 </t>
  </si>
  <si>
    <t xml:space="preserve">163 OBAGS002 TESE5 036 2,000 PZ 10,800 21,60 </t>
  </si>
  <si>
    <t xml:space="preserve">164 OBAGS002 TES01 422 3,000 PZ 7,080 21,24 </t>
  </si>
  <si>
    <t xml:space="preserve">165 OBAGP106 ECS55 075 2,000 PZ 19,320 38,64 </t>
  </si>
  <si>
    <t xml:space="preserve">166 SHOUWA00 ECS51 371 2,000 PZ 18,120 36,24 </t>
  </si>
  <si>
    <t xml:space="preserve">167 HLESD000 ECS35 076 3,000 PZ 14,400 43,20 </t>
  </si>
  <si>
    <t xml:space="preserve">168 HLESAD00 ECS00 371 8,000 PZ 4,560 36,48 </t>
  </si>
  <si>
    <t xml:space="preserve">169 SHOUWA00 ECS51 036 2,000 PZ 18,120 36,24 </t>
  </si>
  <si>
    <t xml:space="preserve">170 OBAGS016 TESE6 036 2,000 PZ 11,880 23,76 </t>
  </si>
  <si>
    <t xml:space="preserve">171 OBAGS018 TESG2 017 2,000 PZ 12,720 25,44 </t>
  </si>
  <si>
    <t xml:space="preserve">172 OBAGP006 TESE8 227 2,000 PZ 12,720 25,44 </t>
  </si>
  <si>
    <t xml:space="preserve">173 SHOUCF00 ECS35 422 4,000 PZ 11,880 47,52 </t>
  </si>
  <si>
    <t xml:space="preserve">174 OBAGA000 ECS42 371 6,000 PZ 3,600 21,60 </t>
  </si>
  <si>
    <t xml:space="preserve">175 OCLKD104 MES92 498 3,000 PZ 18,960 56,88 </t>
  </si>
  <si>
    <t xml:space="preserve">176 OCLKD104 MES92 499 3,000 PZ 18,960 56,88 </t>
  </si>
  <si>
    <t xml:space="preserve">177 OHUGI002 ECS36 227 4,000 PZ 18,120 72,48 </t>
  </si>
  <si>
    <r>
      <t xml:space="preserve">O HUG INTÉRIEUR PORTEFEUILLE FEMME EN FAUX CUIR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4202321000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</si>
  <si>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178 OHUGB002 EVS06 347 3,000 PZ 6,600 19,80 </t>
  </si>
  <si>
    <t xml:space="preserve">179 OBAGB024 EVS00 479 3,000 PZ 4,800 14,40 </t>
  </si>
  <si>
    <t xml:space="preserve">180 HLESD000 ECS35 017 3,000 PZ 14,400 43,20 </t>
  </si>
  <si>
    <t xml:space="preserve">181 ACCEF001 TESF6 474 4,000 PZ 7,080 28,32 </t>
  </si>
  <si>
    <r>
      <t xml:space="preserve">BANDEAU BRACELET FOULARD TISSU LUXURY STRIPES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7907000000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</si>
  <si>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182 ACCEO001 TES23 036 3,000 PZ 7,800 23,40 </t>
  </si>
  <si>
    <t xml:space="preserve">183 OCLKD001 MES80 347 3,000 PZ 9,000 27,00 </t>
  </si>
  <si>
    <t xml:space="preserve">184 OCLKD001 MES80 484 3,000 PZ 9,000 27,00 </t>
  </si>
  <si>
    <t xml:space="preserve">185 SHOUWA00 ECS54 479 3,000 PZ 21,960 65,88 </t>
  </si>
  <si>
    <t xml:space="preserve">186 OBAGA000 ECS40 075 6,000 PZ 3,000 18,00 </t>
  </si>
  <si>
    <t xml:space="preserve">187 OHUGI002 ECS69 125 4,000 PZ 18,120 72,48 </t>
  </si>
  <si>
    <r>
      <t xml:space="preserve">O HUG INTÉRIEUR PORTEFEUILLE FEMME EN FAUX CUIR + FANTAISIE À FLEURS SUR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4202321000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</si>
  <si>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188 SHOUG617 ECS00 054 8,000 PZ 9,600 76,80 </t>
  </si>
  <si>
    <t xml:space="preserve">189 OBAGB017 EVS00 055 2,000 PZ 11,040 22,08 </t>
  </si>
  <si>
    <t xml:space="preserve">190 OBAGB002 EVS00 158 1,000 PZ 14,400 14,40 </t>
  </si>
  <si>
    <t xml:space="preserve">191 OBAGB206 EVS00 158 1,000 PZ 4,800 4,80 </t>
  </si>
  <si>
    <t xml:space="preserve">192 OBAGS019 TES26 055 18,000 PZ 12,600 226,80 </t>
  </si>
  <si>
    <r>
      <t xml:space="preserve">POCHETTE INTÉRIEURE FERMETURE ÉCLAIR O SQUARE EN TISSU CORDURA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</si>
  <si>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193 OBAGB009 EVS00 133 1,000 PZ 14,400 14,40 </t>
  </si>
  <si>
    <t xml:space="preserve">194 OBAGB017 EVS00 071 2,000 PZ 11,040 22,08 </t>
  </si>
  <si>
    <t xml:space="preserve">195 OBAGB010 EVS00 071 1,000 PZ 13,080 13,08 </t>
  </si>
  <si>
    <t xml:space="preserve">196 SHOUA306 ECS42 055 10,000 PZ 3,600 36,00 </t>
  </si>
  <si>
    <t xml:space="preserve">197 OBAGS016 TES26 055 2,000 PZ 11,400 22,80 </t>
  </si>
  <si>
    <t xml:space="preserve">198 OBAGP106 ECS52 076 2,000 PZ 15,600 31,20 </t>
  </si>
  <si>
    <t xml:space="preserve">199 OBAGB009 EVS00 026 2,000 PZ 14,400 28,80 </t>
  </si>
  <si>
    <t xml:space="preserve">200 OBAGB016 EVS00 347 2,000 PZ 12,600 25,20 </t>
  </si>
  <si>
    <t xml:space="preserve">201 OBAGB016 EVS00 075 2,000 PZ 12,600 25,20 </t>
  </si>
  <si>
    <t xml:space="preserve">202 OBAGB009 EVS00 479 2,000 PZ 14,400 28,80 </t>
  </si>
  <si>
    <t xml:space="preserve">203 OBAGPA24 TESF4 473 2,000 PZ 15,600 31,20 </t>
  </si>
  <si>
    <r>
      <t xml:space="preserve">RABAT TOURNIQUET O POCKET EN MICRO TISSU LUXURY CÔTELÉ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</si>
  <si>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204 HLESZ817 TESH8 055 5,000 PZ 14,400 72,00 </t>
  </si>
  <si>
    <r>
      <t xml:space="preserve">ANSES + BRETELLE COURTE GOUTTE O SQUARE EN TISSU CAOUTCHOUTÉ RUBAN À RAYURES TECHNIQU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</si>
  <si>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205 OBAGT001 TESF7 475 2,000 PZ 14,400 28,80 </t>
  </si>
  <si>
    <r>
      <t xml:space="preserve">REVERS O BAG EN TISSU DEAUVILLE À RAYURES EFFET FLAMMÉ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</si>
  <si>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206 ACCEC002 ECS03 479 2,000 PZ 7,080 14,16 </t>
  </si>
  <si>
    <t xml:space="preserve">207 OBAGS017 TESE6 076 2,000 PZ 11,880 23,76 </t>
  </si>
  <si>
    <t xml:space="preserve">208 ACCEC002 ECS03 422 2,000 PZ 7,080 14,16 </t>
  </si>
  <si>
    <t xml:space="preserve">209 SHOUGG00 TESI2 227 2,000 PZ 13,440 26,88 </t>
  </si>
  <si>
    <t xml:space="preserve">210 HLESAD00 ECS00 076 8,000 PZ 4,560 36,48 </t>
  </si>
  <si>
    <t xml:space="preserve">211 OBAGS002 TESG9 125 2,000 PZ 9,600 19,20 </t>
  </si>
  <si>
    <t xml:space="preserve">212 OBAGB024 EVS00 075 3,000 PZ 4,800 14,40 </t>
  </si>
  <si>
    <t xml:space="preserve">213 OBAGB017 EVS00 479 2,000 PZ 11,040 22,08 </t>
  </si>
  <si>
    <t xml:space="preserve">214 SHOUWA00 TESE5 036 3,000 PZ 13,320 39,96 </t>
  </si>
  <si>
    <t xml:space="preserve">215 OBAGS001 TESE6 055 2,000 PZ 10,800 21,60 </t>
  </si>
  <si>
    <r>
      <t xml:space="preserve">POCHETTE INTÉRIEURE FERMETURE ÉCLAIR O BAG EN TISSU NYC À RAYURES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</si>
  <si>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216 OBAGS001 TESE6 036 2,000 PZ 10,800 21,60 </t>
  </si>
  <si>
    <t xml:space="preserve">217 OBAGS001 TES01 130 3,000 PZ 7,800 23,40 </t>
  </si>
  <si>
    <t xml:space="preserve">218 OBAGS002 TES01 075 3,000 PZ 7,080 21,24 </t>
  </si>
  <si>
    <t xml:space="preserve">219 OBAGS016 TESF8 481 2,000 PZ 11,880 23,76 </t>
  </si>
  <si>
    <t xml:space="preserve">220 OBAGB426 TESF9 009 2,000 PZ 20,400 40,80 </t>
  </si>
  <si>
    <t xml:space="preserve">221 OBAGS102 TESG6 408 2,000 PZ 11,880 23,76 </t>
  </si>
  <si>
    <t xml:space="preserve">222 SHOUCF00 ECS35 055 6,000 PZ 11,880 71,28 </t>
  </si>
  <si>
    <t xml:space="preserve">223 OCLKD001 MES87 026 3,000 PZ 8,400 25,20 </t>
  </si>
  <si>
    <t xml:space="preserve">224 OCLKD001 MES87 422 3,000 PZ 8,400 25,20 </t>
  </si>
  <si>
    <t xml:space="preserve">225 OCLKD001 MES88 347 3,000 PZ 8,400 25,20 </t>
  </si>
  <si>
    <t xml:space="preserve">226 OBAGS016 TES01 026 2,000 PZ 10,800 21,60 </t>
  </si>
  <si>
    <t xml:space="preserve">227 OBAGP006 TESF5 441 2,000 PZ 18,120 36,24 </t>
  </si>
  <si>
    <t xml:space="preserve">228 OBAGP006 TESF6 474 2,000 PZ 18,120 36,24 </t>
  </si>
  <si>
    <t xml:space="preserve">229 OBAGP006 TESF8 481 2,000 PZ 11,880 23,76 </t>
  </si>
  <si>
    <t xml:space="preserve">230 OBAGPA24 TESF6 474 2,000 PZ 15,600 31,20 </t>
  </si>
  <si>
    <t xml:space="preserve">231 OBAGA000 ECS42 479 6,000 PZ 3,600 21,60 </t>
  </si>
  <si>
    <t xml:space="preserve">232 OBAGB009 EVS15 479 2,000 PZ 24,000 48,00 </t>
  </si>
  <si>
    <t xml:space="preserve">233 OBAGP006 TESH2 072 2,000 PZ 12,720 25,44 </t>
  </si>
  <si>
    <r>
      <t xml:space="preserve">RABAT O POCKET EN COTON MOTIF PAPILLONS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</si>
  <si>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234 OBAGP106 ECS55 479 2,000 PZ 19,320 38,64 </t>
  </si>
  <si>
    <t xml:space="preserve">235 OCLKD101 MES85 483 3,000 PZ 9,000 27,00 </t>
  </si>
  <si>
    <t xml:space="preserve">236 OBAGB018 EVS03 347 3,000 PZ 11,880 35,64 </t>
  </si>
  <si>
    <t xml:space="preserve">237 OBAGB002 EVS00 371 1,000 PZ 14,400 14,40 </t>
  </si>
  <si>
    <t xml:space="preserve">238 OBAGB009 EVS00 017 1,000 PZ 14,400 14,40 </t>
  </si>
  <si>
    <t xml:space="preserve">239 OBAGS002 TES01 026 3,000 PZ 7,080 21,24 </t>
  </si>
  <si>
    <t xml:space="preserve">240 OBAGB017 EVS00 017 2,000 PZ 11,040 22,08 </t>
  </si>
  <si>
    <t xml:space="preserve">241 OBAGB016 EVS00 076 2,000 PZ 12,600 25,20 </t>
  </si>
  <si>
    <t xml:space="preserve">242 OBAGB016 EVS00 078 2,000 PZ 12,600 25,20 </t>
  </si>
  <si>
    <t xml:space="preserve">243 OBAGB001 EVS00 422 3,000 PZ 14,400 43,20 </t>
  </si>
  <si>
    <t xml:space="preserve">244 OBAGB009 EVS00 422 2,000 PZ 14,400 28,80 </t>
  </si>
  <si>
    <t xml:space="preserve">245 OBAGS121 TES01 054 3,000 PZ 7,800 23,40 </t>
  </si>
  <si>
    <t xml:space="preserve">246 OBAGB018 EVS03 076 3,000 PZ 11,880 35,64 </t>
  </si>
  <si>
    <t xml:space="preserve">247 OBAGB017 EVS00 371 2,000 PZ 11,040 22,08 </t>
  </si>
  <si>
    <t xml:space="preserve">248 OBAGB017 EVS00 347 2,000 PZ 11,040 22,08 </t>
  </si>
  <si>
    <t xml:space="preserve">249 OBAGB021 EVS03 078 2,000 PZ 11,880 23,76 </t>
  </si>
  <si>
    <t xml:space="preserve">250 OBAGB001 EVS00 485 3,000 PZ 14,400 43,20 </t>
  </si>
  <si>
    <t xml:space="preserve">251 OCLKE013 MAS00 055 6,000 PZ 1,920 11,52 </t>
  </si>
  <si>
    <t xml:space="preserve">252 OCLKE013 MAS00 059 6,000 PZ 1,920 11,52 </t>
  </si>
  <si>
    <t xml:space="preserve">253 OCLKSB01 INS00 008 6,000 PZ 2,520 15,12 </t>
  </si>
  <si>
    <t xml:space="preserve">254 OCLKSB01 INS00 060 6,000 PZ 2,520 15,12 </t>
  </si>
  <si>
    <t xml:space="preserve">255 OBAGS017 TESH2 036 2,000 PZ 12,720 25,44 </t>
  </si>
  <si>
    <t xml:space="preserve">256 OBAGP006 TESF2 055 2,000 PZ 18,120 36,24 </t>
  </si>
  <si>
    <t xml:space="preserve">257 OBAGS010 TES01 076 2,000 PZ 9,360 18,72 </t>
  </si>
  <si>
    <t xml:space="preserve">258 SHOUGH00 TESI4 241 4,000 PZ 12,600 50,40 </t>
  </si>
  <si>
    <t xml:space="preserve">259 OBAGS002 TESE5 076 2,000 PZ 10,800 21,60 </t>
  </si>
  <si>
    <t xml:space="preserve">260 OBAGS001 TESE6 076 2,000 PZ 10,800 21,60 </t>
  </si>
  <si>
    <t xml:space="preserve">261 OBAGS009 TES01 076 2,000 PZ 9,780 19,56 </t>
  </si>
  <si>
    <t xml:space="preserve">262 OBAGS121 TESF7 475 3,000 PZ 12,600 37,80 </t>
  </si>
  <si>
    <r>
      <t xml:space="preserve">POCHETTE INTÉRIEURE À COULISSE O SWING EN TISSU DEAUVILLE À RAYURES EFFET FLAMMÉ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</si>
  <si>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263 OBAGT001 TESF9 254 2,000 PZ 10,680 21,36 </t>
  </si>
  <si>
    <t xml:space="preserve">264 OBAGP006 TESF4 473 2,000 PZ 18,120 36,24 </t>
  </si>
  <si>
    <r>
      <t xml:space="preserve">RABAT O POCKET EN TISSU LUXURY CÔTELÉ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</si>
  <si>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265 OBAGP106 TES13 017 2,000 PZ 14,400 28,80 </t>
  </si>
  <si>
    <t xml:space="preserve">266 SHOUWA00 TESE5 076 3,000 PZ 13,320 39,96 </t>
  </si>
  <si>
    <t xml:space="preserve">267 OBAGS001 TESF9 254 3,000 PZ 10,680 32,04 </t>
  </si>
  <si>
    <t xml:space="preserve">268 OHUGB002 EVS06 026 3,000 PZ 6,600 19,80 </t>
  </si>
  <si>
    <t xml:space="preserve">269 HLESGC00 ECS54 215 3,000 PZ 16,320 48,96 </t>
  </si>
  <si>
    <t xml:space="preserve">270 HLESGC00 ECS54 479 3,000 PZ 16,320 48,96 </t>
  </si>
  <si>
    <t xml:space="preserve">271 OBAGT001 TESG8 061 2,000 PZ 20,040 40,08 </t>
  </si>
  <si>
    <t xml:space="preserve">272 OBAGT002 TESG8 061 2,000 PZ 18,240 36,48 </t>
  </si>
  <si>
    <t xml:space="preserve">273 OBAGT002 TESE8 227 2,000 PZ 12,720 25,44 </t>
  </si>
  <si>
    <t xml:space="preserve">274 OBAGS001 TESG3 481 2,000 PZ 11,880 23,76 </t>
  </si>
  <si>
    <t xml:space="preserve">275 OBAGB206 EVS00 026 3,000 PZ 4,800 14,40 </t>
  </si>
  <si>
    <t xml:space="preserve">276 ACCEP014 ECS35 076 3,000 PZ 9,600 28,80 </t>
  </si>
  <si>
    <t xml:space="preserve">277 OBAGB001 EVS17 055 3,000 PZ 33,000 99,00 </t>
  </si>
  <si>
    <t xml:space="preserve">278 OBAGS118 TESE6 055 2,000 PZ 13,440 26,88 </t>
  </si>
  <si>
    <t xml:space="preserve">279 OBAGS018 TESE6 036 2,000 PZ 13,440 26,88 </t>
  </si>
  <si>
    <r>
      <t xml:space="preserve">POCHETTE INTÉRIEURE FERMETURE ÉCLAIR O BAG BEACH MINI EN TISSU NYC À RAYURES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</si>
  <si>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280 OBAGS102 TESG6 408 2,000 PZ 11,880 23,76 </t>
  </si>
  <si>
    <t xml:space="preserve">281 OBAGS002 TESE7 055 2,000 PZ 12,720 25,44 </t>
  </si>
  <si>
    <t xml:space="preserve">282 HLESAD00 ECS00 017 8,000 PZ 4,560 36,48 </t>
  </si>
  <si>
    <t xml:space="preserve">283 HLESAD00 ECS00 017 6,000 PZ 4,560 27,36 </t>
  </si>
  <si>
    <t xml:space="preserve">284 HLESAD00 ECS00 422 6,000 PZ 4,560 27,36 </t>
  </si>
  <si>
    <t xml:space="preserve">285 HLESZ817 TESH8 076 3,000 PZ 14,400 43,20 </t>
  </si>
  <si>
    <t xml:space="preserve">286 OBAGS016 TES01 347 2,000 PZ 10,800 21,60 </t>
  </si>
  <si>
    <t xml:space="preserve">287 OBAGS017 TESE6 055 2,000 PZ 11,880 23,76 </t>
  </si>
  <si>
    <t xml:space="preserve">288 OBAGPA06 TESF1 008 2,000 PZ 12,720 25,44 </t>
  </si>
  <si>
    <t xml:space="preserve">289 SHOUCF00 ECS35 036 4,000 PZ 11,880 47,52 </t>
  </si>
  <si>
    <t xml:space="preserve">290 OCLKD001 MES86 076 3,000 PZ 8,400 25,20 </t>
  </si>
  <si>
    <t xml:space="preserve">291 OCLKD001 MES86 347 3,000 PZ 8,400 25,20 </t>
  </si>
  <si>
    <t xml:space="preserve">292 OCLKD101 MES91 487 3,000 PZ 9,000 27,00 </t>
  </si>
  <si>
    <t xml:space="preserve">293 OBAGB024 EVS00 026 3,000 PZ 4,800 14,40 </t>
  </si>
  <si>
    <t xml:space="preserve">294 OBAGS001 TESG2 017 2,000 PZ 10,800 21,60 </t>
  </si>
  <si>
    <t xml:space="preserve">295 OBAGS009 TES01 130 2,000 PZ 9,780 19,56 </t>
  </si>
  <si>
    <t xml:space="preserve">296 ACCEF001 TESF5 478 4,000 PZ 7,080 28,32 </t>
  </si>
  <si>
    <r>
      <t xml:space="preserve">BANDEAU BRACELET FOULARD TISSU LUXURY DRIPPING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7907000000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</si>
  <si>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297 OBAGB009 EVS15 371 2,000 PZ 24,000 48,00 </t>
  </si>
  <si>
    <t xml:space="preserve">298 OBAGB426 ECS67 479 2,000 PZ 29,400 58,80 </t>
  </si>
  <si>
    <t xml:space="preserve">299 OBAGPA24 ECS53 061 2,000 PZ 15,600 31,20 </t>
  </si>
  <si>
    <t xml:space="preserve">300 SHOUWA00 ECS54 215 3,000 PZ 21,960 65,88 </t>
  </si>
  <si>
    <t xml:space="preserve">301 OBAGPA10 ECS35 479 2,000 PZ 6,720 13,44 </t>
  </si>
  <si>
    <t xml:space="preserve">302 OBAGB009 EVS00 071 1,000 PZ 14,400 14,40 </t>
  </si>
  <si>
    <t xml:space="preserve">303 OBAGB010 EVS00 055 1,000 PZ 13,080 13,08 </t>
  </si>
  <si>
    <t xml:space="preserve">304 OBAGB001 EVS00 038 2,000 PZ 14,400 28,80 </t>
  </si>
  <si>
    <t xml:space="preserve">305 OBAGB009 EVS00 075 2,000 PZ 14,400 28,80 </t>
  </si>
  <si>
    <t xml:space="preserve">306 OBAGB018 EVS03 422 3,000 PZ 11,880 35,64 </t>
  </si>
  <si>
    <t xml:space="preserve">307 OBAGB010 EVS00 026 2,000 PZ 13,080 26,16 </t>
  </si>
  <si>
    <t xml:space="preserve">308 OBAGB021 EVS03 371 2,000 PZ 11,880 23,76 </t>
  </si>
  <si>
    <t xml:space="preserve">309 OBAGB001 EVS00 026 3,000 PZ 14,400 43,20 </t>
  </si>
  <si>
    <t xml:space="preserve">310 OBAGB019 EVS00 076 2,000 PZ 13,920 27,84 </t>
  </si>
  <si>
    <t xml:space="preserve">311 OBAGB002 EVS00 479 3,000 PZ 14,400 43,20 </t>
  </si>
  <si>
    <t xml:space="preserve">312 OCLKE013 MAS00 008 6,000 PZ 1,920 11,52 </t>
  </si>
  <si>
    <t xml:space="preserve">313 OCLKE013 MAS00 063 6,000 PZ 1,920 11,52 </t>
  </si>
  <si>
    <t xml:space="preserve">314 OCLKSB01 INS00 063 6,000 PZ 2,520 15,12 </t>
  </si>
  <si>
    <t xml:space="preserve">315 OCLKSB01 INS00 422 6,000 PZ 2,520 15,12 </t>
  </si>
  <si>
    <t xml:space="preserve">316 SHOUBG00 ECS35 017 6,000 PZ 7,200 43,20 </t>
  </si>
  <si>
    <t xml:space="preserve">317 ACCEC002 ECS03 055 2,000 PZ 7,080 14,16 </t>
  </si>
  <si>
    <t xml:space="preserve">318 OBAGS009 TESG9 125 2,000 PZ 10,800 21,60 </t>
  </si>
  <si>
    <t xml:space="preserve">319 OBAGT002 TESF7 475 2,000 PZ 12,720 25,44 </t>
  </si>
  <si>
    <r>
      <t xml:space="preserve">REVERS O BAG MINI EN TISSU DEAUVILLE À RAYURES EFFET FLAMMÉ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</si>
  <si>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320 HLESAE00 ECS00 075 2,000 PZ 4,560 9,12 </t>
  </si>
  <si>
    <t xml:space="preserve">321 OBAGB016 EVS00 479 2,000 PZ 12,600 25,20 </t>
  </si>
  <si>
    <t xml:space="preserve">322 OBAGS002 TES01 076 3,000 PZ 7,080 21,24 </t>
  </si>
  <si>
    <t xml:space="preserve">323 OBAGS102 TESG7 017 2,000 PZ 11,880 23,76 </t>
  </si>
  <si>
    <r>
      <t xml:space="preserve">POCHETTE INTÉRIEURE À COULISSE O BAG MINI EN NYLON COULEUR UNIE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</si>
  <si>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324 HLESGC00 ECS54 075 3,000 PZ 16,320 48,96 </t>
  </si>
  <si>
    <t xml:space="preserve">325 OBAGB018 EVS03 479 3,000 PZ 11,880 35,64 </t>
  </si>
  <si>
    <t xml:space="preserve">326 OBAGB426 ECS67 072 2,000 PZ 29,400 58,80 </t>
  </si>
  <si>
    <t xml:space="preserve">327 OBAGP006 ECS54 072 2,000 PZ 18,120 36,24 </t>
  </si>
  <si>
    <t xml:space="preserve">328 OBAGS016 TESG9 125 2,000 PZ 11,880 23,76 </t>
  </si>
  <si>
    <t xml:space="preserve">329 OBAGS017 TESG3 480 2,000 PZ 10,800 21,60 </t>
  </si>
  <si>
    <t xml:space="preserve">330 OBAGT001 TESH1 008 2,000 PZ 12,720 25,44 </t>
  </si>
  <si>
    <t xml:space="preserve">331 OBAGB016 EVS19 075 2,000 PZ 13,800 27,60 </t>
  </si>
  <si>
    <t xml:space="preserve">332 OHUGI002 ECS70 479 3,000 PZ 19,320 57,96 </t>
  </si>
  <si>
    <t xml:space="preserve">333 OBAGS002 TESF8 481 2,000 PZ 10,800 21,60 </t>
  </si>
  <si>
    <t xml:space="preserve">334 OBAGB010 EVS00 479 2,000 PZ 13,080 26,16 </t>
  </si>
  <si>
    <t xml:space="preserve">335 OBAGS001 TES01 347 2,000 PZ 7,800 15,60 </t>
  </si>
  <si>
    <t xml:space="preserve">336 OBAGB002 EVS00 484 3,000 PZ 14,400 43,20 </t>
  </si>
  <si>
    <t xml:space="preserve">337 OBAGB002 EVS18 371 3,000 PZ 15,600 46,80 </t>
  </si>
  <si>
    <t xml:space="preserve">338 HLESZ817 TESH8 036 3,000 PZ 14,400 43,20 </t>
  </si>
  <si>
    <t xml:space="preserve">339 OBAGS017 TESE6 036 2,000 PZ 11,880 23,76 </t>
  </si>
  <si>
    <t xml:space="preserve">340 OBAGP106 ECS52 055 2,000 PZ 15,600 31,20 </t>
  </si>
  <si>
    <t xml:space="preserve">341 ACCEP014 ECS35 026 3,000 PZ 9,600 28,80 </t>
  </si>
  <si>
    <t xml:space="preserve">342 HLESAD00 ECS00 026 8,000 PZ 4,560 36,48 </t>
  </si>
  <si>
    <t xml:space="preserve">343 OBAGS017 TESG3 481 2,000 PZ 10,800 21,60 </t>
  </si>
  <si>
    <t xml:space="preserve">344 OBAGPA24 TESF5 441 2,000 PZ 15,600 31,20 </t>
  </si>
  <si>
    <t xml:space="preserve">345 OBAGB016 EVS19 371 2,000 PZ 13,800 27,60 </t>
  </si>
  <si>
    <t xml:space="preserve">346 OBAGB016 EVS19 479 2,000 PZ 13,800 27,60 </t>
  </si>
  <si>
    <t xml:space="preserve">347 OBAGP006 ECS54 130 2,000 PZ 18,120 36,24 </t>
  </si>
  <si>
    <t xml:space="preserve">348 OBAGS010 TES01 075 2,000 PZ 9,360 18,72 </t>
  </si>
  <si>
    <t xml:space="preserve">349 OBAGS017 TESH2 072 2,000 PZ 12,720 25,44 </t>
  </si>
  <si>
    <t xml:space="preserve">350 HLESMD00 ECS46 072 4,000 PZ 12,720 50,88 </t>
  </si>
  <si>
    <t xml:space="preserve">351 HLESAD00 ECS00 483 8,000 PZ 4,560 36,48 </t>
  </si>
  <si>
    <t xml:space="preserve">352 OCLKD001 MES82 025 3,000 PZ 9,000 27,00 </t>
  </si>
  <si>
    <t xml:space="preserve">353 OCLKD001 MES83 134 3,000 PZ 9,360 28,08 </t>
  </si>
  <si>
    <t xml:space="preserve">354 OCLKD101 MES85 075 3,000 PZ 9,000 27,00 </t>
  </si>
  <si>
    <t xml:space="preserve">355 OCLKD101 MES85 130 3,000 PZ 9,000 27,00 </t>
  </si>
  <si>
    <t xml:space="preserve">356 OBAGS009 TES01 347 2,000 PZ 9,780 19,56 </t>
  </si>
  <si>
    <t xml:space="preserve">357 OBAGS010 TES01 422 2,000 PZ 9,360 18,72 </t>
  </si>
  <si>
    <t xml:space="preserve">358 OBAGB009 EVS00 038 2,000 PZ 14,400 28,80 </t>
  </si>
  <si>
    <t xml:space="preserve">359 OBAGS017 TES26 078 2,000 PZ 10,440 20,88 </t>
  </si>
  <si>
    <t xml:space="preserve">360 OBAGB018 EVS03 055 2,000 PZ 11,880 23,76 </t>
  </si>
  <si>
    <t xml:space="preserve">361 OBAGB002 EVS00 038 3,000 PZ 14,400 43,20 </t>
  </si>
  <si>
    <t xml:space="preserve">362 OBAGB206 EVS00 017 1,000 PZ 4,800 4,80 </t>
  </si>
  <si>
    <t xml:space="preserve">363 OBAGB009 EVS00 078 1,000 PZ 14,400 14,40 </t>
  </si>
  <si>
    <t xml:space="preserve">364 HLESMD00 ECS46 055 4,000 PZ 12,720 50,88 </t>
  </si>
  <si>
    <t xml:space="preserve">365 OBAGS017 TES26 055 2,000 PZ 10,440 20,88 </t>
  </si>
  <si>
    <t xml:space="preserve">366 OBAGB021 EVS03 017 2,000 PZ 11,880 23,76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</si>
  <si>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47 </t>
    </r>
  </si>
  <si>
    <t xml:space="preserve">367 OBAGB018 EVS03 026 3,000 PZ 11,880 35,64 </t>
  </si>
  <si>
    <t xml:space="preserve">368 OBAGB016 EVS00 026 2,000 PZ 12,600 25,20 </t>
  </si>
  <si>
    <t xml:space="preserve">369 OBAGB002 EVS00 347 3,000 PZ 14,400 43,20 </t>
  </si>
  <si>
    <t xml:space="preserve">370 OCLKSB01 INS00 076 6,000 PZ 2,520 15,12 </t>
  </si>
  <si>
    <t xml:space="preserve">371 OCLKE013 MAS00 422 6,000 PZ 1,920 11,52 </t>
  </si>
  <si>
    <t xml:space="preserve">372 ACCEC002 ECS03 075 2,000 PZ 7,080 14,16 </t>
  </si>
  <si>
    <t xml:space="preserve">373 OBAGB206 EVS00 347 3,000 PZ 4,800 14,40 </t>
  </si>
  <si>
    <t xml:space="preserve">374 OBAGP006 TESH2 036 2,000 PZ 12,720 25,44 </t>
  </si>
  <si>
    <t xml:space="preserve">375 OBAGS010 TESF3 227 2,000 PZ 14,400 28,80 </t>
  </si>
  <si>
    <t xml:space="preserve">376 OBAGS018 TES26 055 2,000 PZ 10,800 21,60 </t>
  </si>
  <si>
    <r>
      <t xml:space="preserve">POCHETTE INTÉRIEURE FERMETURE ÉCLAIR O BAG BEACH MINI EN TISSU CORDURA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</si>
  <si>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377 HLESMD00 ECS46 017 4,000 PZ 12,720 50,88 </t>
  </si>
  <si>
    <t xml:space="preserve">378 HLESMD00 ECS46 479 4,000 PZ 12,720 50,88 </t>
  </si>
  <si>
    <t xml:space="preserve">379 OBAGS002 TESE6 076 2,000 PZ 10,800 21,60 </t>
  </si>
  <si>
    <t xml:space="preserve">380 SHOUWA00 ECS51 055 2,000 PZ 18,120 36,24 </t>
  </si>
  <si>
    <t xml:space="preserve">381 HLESAD00 ECS00 055 10,000 PZ 4,560 45,60 </t>
  </si>
  <si>
    <t xml:space="preserve">382 OBAGA000 ECS42 017 4,000 PZ 3,600 14,40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</si>
  <si>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49 </t>
    </r>
  </si>
  <si>
    <t xml:space="preserve">383 OBAGP006 TESF8 480 2,000 PZ 11,880 23,76 </t>
  </si>
  <si>
    <t xml:space="preserve">384 OBAGS001 TESE7 055 2,000 PZ 12,720 25,44 </t>
  </si>
  <si>
    <t xml:space="preserve">385 HLESX600 ECS00 055 6,000 PZ 9,000 54,00 </t>
  </si>
  <si>
    <t xml:space="preserve">386 OBAGS010 TESE7 055 2,000 PZ 15,600 31,20 </t>
  </si>
  <si>
    <t xml:space="preserve">387 ACCEC002 ECS03 076 2,000 PZ 7,080 14,16 </t>
  </si>
  <si>
    <t xml:space="preserve">388 OBAGPA24 TESG8 061 2,000 PZ 14,400 28,80 </t>
  </si>
  <si>
    <t xml:space="preserve">389 HLESGC00 ROS04 475 3,000 PZ 6,600 19,80 </t>
  </si>
  <si>
    <t xml:space="preserve">390 HLESGC00 ROS04 475 3,000 PZ 6,600 19,80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</si>
  <si>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50 </t>
    </r>
  </si>
  <si>
    <t xml:space="preserve">391 HLESG000 ROS04 500 4,000 PZ 7,800 31,20 </t>
  </si>
  <si>
    <t xml:space="preserve">392 OBAGS001 TESE5 036 2,000 PZ 10,800 21,60 </t>
  </si>
  <si>
    <t xml:space="preserve">393 HLESD000 ECS35 036 3,000 PZ 14,400 43,20 </t>
  </si>
  <si>
    <t xml:space="preserve">394 HLESD200 ROS05 017 6,000 PZ 13,440 80,64 </t>
  </si>
  <si>
    <t xml:space="preserve">395 SHOUWA00 ECS55 479 3,000 PZ 20,040 60,12 </t>
  </si>
  <si>
    <t xml:space="preserve">396 OBAGB002 EVS18 076 3,000 PZ 15,600 46,80 </t>
  </si>
  <si>
    <t xml:space="preserve">397 OBAGS016 TESE6 055 2,000 PZ 11,880 23,76 </t>
  </si>
  <si>
    <t xml:space="preserve">398 ACCEC002 ECS65 076 2,000 PZ 7,800 15,60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</si>
  <si>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51 </t>
    </r>
  </si>
  <si>
    <t xml:space="preserve">399 OBAGB002 EVS18 422 3,000 PZ 15,600 46,80 </t>
  </si>
  <si>
    <t xml:space="preserve">400 OBAGS016 TES01 422 2,000 PZ 10,800 21,60 </t>
  </si>
  <si>
    <t xml:space="preserve">401 OBAGS018 TES26 008 2,000 PZ 10,800 21,60 </t>
  </si>
  <si>
    <t xml:space="preserve">402 OBAGPA06 TESF1 036 2,000 PZ 12,720 25,44 </t>
  </si>
  <si>
    <t xml:space="preserve">403 OBAGA000 ECS42 076 6,000 PZ 3,600 21,60 </t>
  </si>
  <si>
    <t xml:space="preserve">404 ACCEP014 ECS35 017 3,000 PZ 9,600 28,80 </t>
  </si>
  <si>
    <t xml:space="preserve">405 ACCEP014 ECS35 036 3,000 PZ 9,600 28,80 </t>
  </si>
  <si>
    <t xml:space="preserve">406 OCLKD001 MES87 055 3,000 PZ 8,400 25,20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</si>
  <si>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52 </t>
    </r>
  </si>
  <si>
    <t xml:space="preserve">407 OCLKD001 MES88 076 3,000 PZ 8,400 25,20 </t>
  </si>
  <si>
    <t xml:space="preserve">408 OCLKD104 MES90 055 3,000 PZ 8,520 25,56 </t>
  </si>
  <si>
    <t xml:space="preserve">409 HLESZ817 TESI5 488 3,000 PZ 18,000 54,00 </t>
  </si>
  <si>
    <r>
      <t xml:space="preserve">ANSES SPORTY + BRETELLE O SQUARE TISSU RUBAN YACHT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</si>
  <si>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410 OBAGS002 TESG2 017 2,000 PZ 9,720 19,44 </t>
  </si>
  <si>
    <t xml:space="preserve">411 OBAGPA10 ECS35 017 2,000 PZ 6,720 13,44 </t>
  </si>
  <si>
    <t xml:space="preserve">412 OBAGB009 EVS15 075 2,000 PZ 24,000 48,00 </t>
  </si>
  <si>
    <t xml:space="preserve">413 OBAGS002 TESH2 072 2,000 PZ 12,720 25,44 </t>
  </si>
  <si>
    <t xml:space="preserve">414 HLESAE00 ECS00 479 6,000 PZ 4,560 27,36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</si>
  <si>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53 </t>
    </r>
  </si>
  <si>
    <t xml:space="preserve">415 HLESMD00 ECS46 483 4,000 PZ 12,720 50,88 </t>
  </si>
  <si>
    <t xml:space="preserve">416 OBAGA000 ECS42 026 6,000 PZ 3,600 21,60 </t>
  </si>
  <si>
    <t xml:space="preserve">417 OBAGB001 EVS00 078 1,000 PZ 14,400 14,40 </t>
  </si>
  <si>
    <t xml:space="preserve">418 OBAGB001 EVS00 055 1,000 PZ 14,400 14,40 </t>
  </si>
  <si>
    <t xml:space="preserve">419 OBAGB002 EVS00 133 1,000 PZ 14,400 14,40 </t>
  </si>
  <si>
    <t xml:space="preserve">420 OBAGB010 EVS00 017 1,000 PZ 13,080 13,08 </t>
  </si>
  <si>
    <t xml:space="preserve">421 OBAGB010 EVS00 078 1,000 PZ 13,080 13,08 </t>
  </si>
  <si>
    <t xml:space="preserve">422 OBAGB206 EVS00 076 3,000 PZ 4,800 14,40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</si>
  <si>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54 </t>
    </r>
  </si>
  <si>
    <t xml:space="preserve">423 OBAGB001 EVS00 075 3,000 PZ 14,400 43,20 </t>
  </si>
  <si>
    <t xml:space="preserve">424 OBAGB206 EVS00 071 1,000 PZ 4,800 4,80 </t>
  </si>
  <si>
    <t xml:space="preserve">425 OBAGB019 EVS00 422 2,000 PZ 13,920 27,84 </t>
  </si>
  <si>
    <t xml:space="preserve">426 OBAGB009 EVS00 371 1,000 PZ 14,400 14,40 </t>
  </si>
  <si>
    <t xml:space="preserve">427 OBAGB002 EVS00 026 3,000 PZ 14,400 43,20 </t>
  </si>
  <si>
    <t xml:space="preserve">428 OBAGB019 EVS00 347 2,000 PZ 13,920 27,84 </t>
  </si>
  <si>
    <t xml:space="preserve">429 OBAGT001 TESF8 480 2,000 PZ 10,680 21,36 </t>
  </si>
  <si>
    <t xml:space="preserve">430 OBAGB001 EVS00 484 3,000 PZ 14,400 43,20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</si>
  <si>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55 </t>
    </r>
  </si>
  <si>
    <t xml:space="preserve">431 OBAGB426 TESG7 017 2,000 PZ 25,560 51,12 </t>
  </si>
  <si>
    <t xml:space="preserve">432 OBAGS002 TESF8 480 2,000 PZ 10,800 21,60 </t>
  </si>
  <si>
    <t xml:space="preserve">433 OBAGS010 TESE3 227 2,000 PZ 12,720 25,44 </t>
  </si>
  <si>
    <t xml:space="preserve">434 OBAGS002 TESF9 254 3,000 PZ 10,800 32,40 </t>
  </si>
  <si>
    <t xml:space="preserve">435 OBAGS016 TESE6 076 2,000 PZ 11,880 23,76 </t>
  </si>
  <si>
    <t xml:space="preserve">436 SHOUWA00 ECS54 075 3,000 PZ 21,960 65,88 </t>
  </si>
  <si>
    <t xml:space="preserve">437 OBAGB426 TESF7 475 2,000 PZ 29,880 59,76 </t>
  </si>
  <si>
    <t xml:space="preserve">438 HLESAD00 ECS00 055 5,000 PZ 4,560 22,80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</si>
  <si>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56 </t>
    </r>
  </si>
  <si>
    <t xml:space="preserve">439 OBAGS001 TESH1 008 2,000 PZ 10,800 21,60 </t>
  </si>
  <si>
    <t xml:space="preserve">440 OBAGS017 TESH1 008 2,000 PZ 12,720 25,44 </t>
  </si>
  <si>
    <t xml:space="preserve">441 OBAGPA06 TESF1 076 2,000 PZ 12,720 25,44 </t>
  </si>
  <si>
    <t xml:space="preserve">442 OBAGS001 TESG2 130 2,000 PZ 10,800 21,60 </t>
  </si>
  <si>
    <t xml:space="preserve">443 OBAGPA24 ECS53 072 2,000 PZ 15,600 31,20 </t>
  </si>
  <si>
    <t xml:space="preserve">444 OBAGS001 TESE5 076 2,000 PZ 10,800 21,60 </t>
  </si>
  <si>
    <t xml:space="preserve">445 OBAGS102 TESG7 017 2,000 PZ 11,880 23,76 </t>
  </si>
  <si>
    <t xml:space="preserve">446 ACCEC002 ECS03 026 3,000 PZ 7,080 21,24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</si>
  <si>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57 </t>
    </r>
  </si>
  <si>
    <t xml:space="preserve">447 OBAGP006 TESG8 061 2,000 PZ 15,600 31,20 </t>
  </si>
  <si>
    <t xml:space="preserve">448 OBAGS001 TESG9 125 2,000 PZ 9,600 19,20 </t>
  </si>
  <si>
    <t xml:space="preserve">449 SHOUBG00 MAS10 055 3,000 PZ 7,200 21,60 </t>
  </si>
  <si>
    <t xml:space="preserve">450 OBAGB002 EVS18 055 3,000 PZ 15,600 46,80 </t>
  </si>
  <si>
    <t xml:space="preserve">451 OBAGB024 EVS00 055 3,000 PZ 4,800 14,40 </t>
  </si>
  <si>
    <t xml:space="preserve">452 OBAGT001 TESF8 481 2,000 PZ 10,680 21,36 </t>
  </si>
  <si>
    <t xml:space="preserve">453 HLESD000 ECS35 371 3,000 PZ 14,400 43,20 </t>
  </si>
  <si>
    <t xml:space="preserve">454 000_SPTRASP 1,000 NR 200,000 200,00 </t>
  </si>
  <si>
    <t xml:space="preserve">Pag 58 </t>
  </si>
  <si>
    <t xml:space="preserve">// </t>
  </si>
  <si>
    <t xml:space="preserve">420222100 420222909 420232100 420292110 420292919 560900000 630790981 630790989 790700000 790900000 91021100 911180000 911390009 </t>
  </si>
  <si>
    <t xml:space="preserve">Um poids Poids Um qté </t>
  </si>
  <si>
    <t xml:space="preserve">350 275 232 </t>
  </si>
  <si>
    <t xml:space="preserve">23 7 8 37 54 64 51 16 42 78 36 </t>
  </si>
  <si>
    <t xml:space="preserve">3332,04 3332,04 </t>
  </si>
  <si>
    <t xml:space="preserve">3433,56 3433,56 </t>
  </si>
  <si>
    <t xml:space="preserve">2508,84 2508,84 </t>
  </si>
  <si>
    <t xml:space="preserve">320,28 320,28 </t>
  </si>
  <si>
    <t xml:space="preserve">411,12 411,12 </t>
  </si>
  <si>
    <t xml:space="preserve">737,52 737,52 </t>
  </si>
  <si>
    <t xml:space="preserve">880,8 880,8 </t>
  </si>
  <si>
    <t xml:space="preserve">373,32 373,32 </t>
  </si>
  <si>
    <t xml:space="preserve">72,96 72,96 </t>
  </si>
  <si>
    <t xml:space="preserve">KG 29,107 </t>
  </si>
  <si>
    <t xml:space="preserve">PZ </t>
  </si>
  <si>
    <t xml:space="preserve">112,971 PZ 112,971 </t>
  </si>
  <si>
    <t xml:space="preserve">34,723 PZ 34,723 </t>
  </si>
  <si>
    <t xml:space="preserve">3,284 PZ 3,284 </t>
  </si>
  <si>
    <t xml:space="preserve">11,03 PZ 11,03 </t>
  </si>
  <si>
    <t xml:space="preserve">4,122 PZ 4,122 </t>
  </si>
  <si>
    <t xml:space="preserve">7,62 PZ 7,62 </t>
  </si>
  <si>
    <t xml:space="preserve">1,58 PZ 1,58 </t>
  </si>
  <si>
    <t xml:space="preserve">,224 PZ ,224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</si>
  <si>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59 </t>
    </r>
  </si>
  <si>
    <t xml:space="preserve">25/01/2018 13.630,88 </t>
  </si>
  <si>
    <t xml:space="preserve">13.430,88 </t>
  </si>
  <si>
    <r>
      <t xml:space="preserve">200,00 </t>
    </r>
    <r>
      <rPr>
        <sz val="9"/>
        <color rgb="FF000000"/>
        <rFont val="Arial,Bold"/>
      </rPr>
      <t xml:space="preserve">Total Facture </t>
    </r>
    <r>
      <rPr>
        <sz val="7"/>
        <color rgb="FF000000"/>
        <rFont val="Arial"/>
      </rPr>
      <t xml:space="preserve">13.430,88 </t>
    </r>
  </si>
  <si>
    <t xml:space="preserve">13.630,88 EUR </t>
  </si>
  <si>
    <t>7,8</t>
  </si>
  <si>
    <t>23,4</t>
  </si>
  <si>
    <t>12,72</t>
  </si>
  <si>
    <t>50,88</t>
  </si>
  <si>
    <t>4,8</t>
  </si>
  <si>
    <t>14,4</t>
  </si>
  <si>
    <t>13,44</t>
  </si>
  <si>
    <t>26,88</t>
  </si>
  <si>
    <t>18,12</t>
  </si>
  <si>
    <t>36,24</t>
  </si>
  <si>
    <t>9,36</t>
  </si>
  <si>
    <t>18,72</t>
  </si>
  <si>
    <t>25,44</t>
  </si>
  <si>
    <t>11,88</t>
  </si>
  <si>
    <t>15,6</t>
  </si>
  <si>
    <t>43,2</t>
  </si>
  <si>
    <t>7,2</t>
  </si>
  <si>
    <t>OHUGI002 ECS70</t>
  </si>
  <si>
    <t>19,32</t>
  </si>
  <si>
    <t>31,2</t>
  </si>
  <si>
    <t>8,4</t>
  </si>
  <si>
    <t>25,2</t>
  </si>
  <si>
    <t>6,72</t>
  </si>
  <si>
    <t>9,6</t>
  </si>
  <si>
    <t>28,8</t>
  </si>
  <si>
    <t>13,08</t>
  </si>
  <si>
    <t>12,6</t>
  </si>
  <si>
    <t>OBAGS121 TES01</t>
  </si>
  <si>
    <t>26,16</t>
  </si>
  <si>
    <t>OBAGB021 EVS03</t>
  </si>
  <si>
    <t>35,64</t>
  </si>
  <si>
    <t>1,92</t>
  </si>
  <si>
    <t>11,52</t>
  </si>
  <si>
    <t>ACCEF001 TESF4</t>
  </si>
  <si>
    <t>7,08</t>
  </si>
  <si>
    <t>21,24</t>
  </si>
  <si>
    <t>47,52</t>
  </si>
  <si>
    <t>29,4</t>
  </si>
  <si>
    <t>88,2</t>
  </si>
  <si>
    <t>14,16</t>
  </si>
  <si>
    <t>HLESZ817 TESI4</t>
  </si>
  <si>
    <t>9,72</t>
  </si>
  <si>
    <t>19,44</t>
  </si>
  <si>
    <t>OBAGS018 TESG2</t>
  </si>
  <si>
    <t>9,78</t>
  </si>
  <si>
    <t>19,56</t>
  </si>
  <si>
    <t>10,8</t>
  </si>
  <si>
    <t>21,6</t>
  </si>
  <si>
    <t>4,56</t>
  </si>
  <si>
    <t>9,12</t>
  </si>
  <si>
    <t>OHUGB002 EVS06</t>
  </si>
  <si>
    <t>6,6</t>
  </si>
  <si>
    <t>19,8</t>
  </si>
  <si>
    <t>OBAGB019 EVS00</t>
  </si>
  <si>
    <t>CORPS O SQUARE EVA COMPOUND</t>
  </si>
  <si>
    <t>13,92</t>
  </si>
  <si>
    <t>27,84</t>
  </si>
  <si>
    <t>11,04</t>
  </si>
  <si>
    <t>22,08</t>
  </si>
  <si>
    <t>23,76</t>
  </si>
  <si>
    <t>OBAGB018 EVS03</t>
  </si>
  <si>
    <t>CORPS O BAG BEACH MINI EVA COMPOUND EFFET OSIER</t>
  </si>
  <si>
    <t>2,52</t>
  </si>
  <si>
    <t>15,12</t>
  </si>
  <si>
    <t>OBAGS002 TESH2</t>
  </si>
  <si>
    <t>POCHETTE INTÉRIEURE FERMETURE ÉCLAIR O BAG MINI EN COTON MOTIF PAPILLONS</t>
  </si>
  <si>
    <t>OBAGPA06 TESE3</t>
  </si>
  <si>
    <t>OBAGS018 TESF9</t>
  </si>
  <si>
    <t>OBAGS121 TESF9</t>
  </si>
  <si>
    <t>29,88</t>
  </si>
  <si>
    <t>59,76</t>
  </si>
  <si>
    <t>OBAGS118 TESE6</t>
  </si>
  <si>
    <t>40,32</t>
  </si>
  <si>
    <t>20,04</t>
  </si>
  <si>
    <t>60,12</t>
  </si>
  <si>
    <t>SHOUWA00 ECS66</t>
  </si>
  <si>
    <t>OBAGS002 TESE6</t>
  </si>
  <si>
    <t>POCHETTE INTÉRIEURE FERMETURE ÉCLAIR O BAG MINI EN TISSU NYC À RAYURES BICOLORE</t>
  </si>
  <si>
    <t>80,64</t>
  </si>
  <si>
    <t>46,8</t>
  </si>
  <si>
    <t>36,48</t>
  </si>
  <si>
    <t>11,4</t>
  </si>
  <si>
    <t>22,8</t>
  </si>
  <si>
    <t>3,6</t>
  </si>
  <si>
    <t>8,52</t>
  </si>
  <si>
    <t>25,56</t>
  </si>
  <si>
    <t>18,96</t>
  </si>
  <si>
    <t>56,88</t>
  </si>
  <si>
    <t>13,8</t>
  </si>
  <si>
    <t>27,6</t>
  </si>
  <si>
    <t>27,36</t>
  </si>
  <si>
    <t>OBAGS121 TES13</t>
  </si>
  <si>
    <t>38,64</t>
  </si>
  <si>
    <t>OHUGI002 ECS36</t>
  </si>
  <si>
    <t>ACCEF001 TESF6</t>
  </si>
  <si>
    <t>21,96</t>
  </si>
  <si>
    <t>65,88</t>
  </si>
  <si>
    <t>OHUGI002 ECS69</t>
  </si>
  <si>
    <t>76,8</t>
  </si>
  <si>
    <t>OBAGS019 TES26</t>
  </si>
  <si>
    <t>OBAGPA24 TESF4</t>
  </si>
  <si>
    <t>HLESZ817 TESH8</t>
  </si>
  <si>
    <t>OBAGT001 TESF7</t>
  </si>
  <si>
    <t>19,2</t>
  </si>
  <si>
    <t>13,32</t>
  </si>
  <si>
    <t>OBAGS001 TESE6</t>
  </si>
  <si>
    <t>20,4</t>
  </si>
  <si>
    <t>40,8</t>
  </si>
  <si>
    <t>OBAGP006 TESH2</t>
  </si>
  <si>
    <t>RABAT O POCKET EN COTON MOTIF PAPILLONS</t>
  </si>
  <si>
    <t>OBAGS121 TESF7</t>
  </si>
  <si>
    <t>37,8</t>
  </si>
  <si>
    <t>10,68</t>
  </si>
  <si>
    <t>21,36</t>
  </si>
  <si>
    <t>OBAGP006 TESF4</t>
  </si>
  <si>
    <t>16,32</t>
  </si>
  <si>
    <t>40,08</t>
  </si>
  <si>
    <t>18,24</t>
  </si>
  <si>
    <t>OBAGS018 TESE6</t>
  </si>
  <si>
    <t>ACCEF001 TESF5</t>
  </si>
  <si>
    <t>58,8</t>
  </si>
  <si>
    <t>OBAGT002 TESF7</t>
  </si>
  <si>
    <t>OBAGS102 TESG7</t>
  </si>
  <si>
    <t>POCHETTE INTÉRIEURE À COULISSE O BAG MINI EN NYLON COULEUR UNIE</t>
  </si>
  <si>
    <t>28,08</t>
  </si>
  <si>
    <t>10,44</t>
  </si>
  <si>
    <t>20,88</t>
  </si>
  <si>
    <t>OBAGS018 TES26</t>
  </si>
  <si>
    <t>POCHETTE INTÉRIEURE FERMETURE ÉCLAIR O BAG BEACH MINI EN TISSU CORDURA</t>
  </si>
  <si>
    <t>45,6</t>
  </si>
  <si>
    <t>HLESZ817 TESI5</t>
  </si>
  <si>
    <t>ANSES SPORTY + BRETELLE O SQUARE TISSU RUBAN YACHT</t>
  </si>
  <si>
    <t>51,12</t>
  </si>
  <si>
    <t>32,4</t>
  </si>
  <si>
    <t>OBAGS001 TES01 026</t>
  </si>
  <si>
    <t>HLESMD00 ECS46 076</t>
  </si>
  <si>
    <t>OBAGB024 EVS00 347</t>
  </si>
  <si>
    <t>SHOUGH00 TESI3 470</t>
  </si>
  <si>
    <t>SHOUWA00 ECS51 422</t>
  </si>
  <si>
    <t>OBAGS010 TES01 347</t>
  </si>
  <si>
    <t>OBAGPA06 TESF1 422</t>
  </si>
  <si>
    <t>SHOUCF00 ECS35 008</t>
  </si>
  <si>
    <t>ACCEC002 ECS65 036</t>
  </si>
  <si>
    <t>HLESD000 ECS35 026</t>
  </si>
  <si>
    <t>SHOUBG00 ECS35 479</t>
  </si>
  <si>
    <t>OBAGS010 TESF8 481</t>
  </si>
  <si>
    <t>OBAGS010 TES01 026</t>
  </si>
  <si>
    <t>OCLKD001 MES81 017</t>
  </si>
  <si>
    <t>OHUGI002 ECS70 026</t>
  </si>
  <si>
    <t>OCLKD001 MES84 075</t>
  </si>
  <si>
    <t>OBAGPA10 ECS35 076</t>
  </si>
  <si>
    <t>ACCEP014 ECS35 371</t>
  </si>
  <si>
    <t>SHOUG617 ECS00 055</t>
  </si>
  <si>
    <t>33</t>
  </si>
  <si>
    <t>OBAGB009 EVS00 158</t>
  </si>
  <si>
    <t>OBAGB010 EVS00 158</t>
  </si>
  <si>
    <t>OBAGB206 EVS00 078</t>
  </si>
  <si>
    <t>OBAGB206 EVS00 133</t>
  </si>
  <si>
    <t>OBAGB016 EVS00 158</t>
  </si>
  <si>
    <t>OBAGB002 EVS00 075</t>
  </si>
  <si>
    <t>OBAGB002 EVS00 422</t>
  </si>
  <si>
    <t>06</t>
  </si>
  <si>
    <t>OBAGS121 TES01 055</t>
  </si>
  <si>
    <t>36</t>
  </si>
  <si>
    <t>OBAGB010 EVS00 422</t>
  </si>
  <si>
    <t>10</t>
  </si>
  <si>
    <t>OBAGB021 EVS03 026</t>
  </si>
  <si>
    <t>OBAGB001 EVS00 347</t>
  </si>
  <si>
    <t>OBAGB002 EVS00 483</t>
  </si>
  <si>
    <t>OBAGB001 EVS00 486</t>
  </si>
  <si>
    <t>OBAGB001 EVS00 479</t>
  </si>
  <si>
    <t>OCLKE013 MAS00 036</t>
  </si>
  <si>
    <t>ACCEF001 TESF4 473</t>
  </si>
  <si>
    <t>SHOUGG00 TESI1 227</t>
  </si>
  <si>
    <t>OBAGB426 MAS09 055</t>
  </si>
  <si>
    <t>ACCEC002 ECS03 089</t>
  </si>
  <si>
    <t>HLESZ817 TESI4 241</t>
  </si>
  <si>
    <t>OBAGS001 TES01 075</t>
  </si>
  <si>
    <t>OBAGB024 EVS00 076</t>
  </si>
  <si>
    <t>SHOUGH00 TESI3 471</t>
  </si>
  <si>
    <t>SHOUWA00 ECS51 076</t>
  </si>
  <si>
    <t>ACCEC002 ECS65 422</t>
  </si>
  <si>
    <t>OBAGS002 TESG2 076</t>
  </si>
  <si>
    <t>OBAGS010 TESG2 017</t>
  </si>
  <si>
    <t>OBAGS018 TESG2 076</t>
  </si>
  <si>
    <t>OBAGB021 EVS03 479</t>
  </si>
  <si>
    <t>OBAGS009 TES01 075</t>
  </si>
  <si>
    <t>OBAGS016 TES01 075</t>
  </si>
  <si>
    <t>HLESAE00 ECS00 479</t>
  </si>
  <si>
    <t>SHOUBG00 ECS35 055</t>
  </si>
  <si>
    <t>OBAGA000 ECS40 483</t>
  </si>
  <si>
    <t>OBAGB206 EVS00 055</t>
  </si>
  <si>
    <t>OBAGB206 EVS00 371</t>
  </si>
  <si>
    <t>OBAGB010 EVS00 075</t>
  </si>
  <si>
    <t>OHUGB002 EVS06 075</t>
  </si>
  <si>
    <t>OBAGB019 EVS00 158</t>
  </si>
  <si>
    <t>OBAGB017 EVS00 158</t>
  </si>
  <si>
    <t>OBAGB021 EVS03 055</t>
  </si>
  <si>
    <t>OBAGB018 EVS03 371</t>
  </si>
  <si>
    <t>12</t>
  </si>
  <si>
    <t>OBAGB018 EVS03 017</t>
  </si>
  <si>
    <t>OBAGB009 EVS00 347</t>
  </si>
  <si>
    <t>OBAGB017 EVS00 026</t>
  </si>
  <si>
    <t>OBAGB019 EVS00 371</t>
  </si>
  <si>
    <t>42</t>
  </si>
  <si>
    <t>OCLKE013 MAS00 060</t>
  </si>
  <si>
    <t>OCLKSB01 INS00 036</t>
  </si>
  <si>
    <t>OBAGS017 TESE3 227</t>
  </si>
  <si>
    <t>OBAGS002 TESH2 036</t>
  </si>
  <si>
    <t>OBAGS010 TESF8 480</t>
  </si>
  <si>
    <t>OBAGPA06 TESE3 227</t>
  </si>
  <si>
    <t>OBAGS001 TESG3 480</t>
  </si>
  <si>
    <t>OBAGT001 TESE3 227</t>
  </si>
  <si>
    <t>OBAGS010 TESG5 476</t>
  </si>
  <si>
    <t>OBAGS018 TESF9 254</t>
  </si>
  <si>
    <t>OBAGS121 TESF9 254</t>
  </si>
  <si>
    <t>SHOUBG00 ECS35 075</t>
  </si>
  <si>
    <t>OBAGB426 TESG6 408</t>
  </si>
  <si>
    <t>OBAGS118 TESE6 076</t>
  </si>
  <si>
    <t>OBAGT002 TESE3 227</t>
  </si>
  <si>
    <t>ACCEO001 TES23 009</t>
  </si>
  <si>
    <t>HLESD200 ROS05 489</t>
  </si>
  <si>
    <t>OBAGS016 TES01 076</t>
  </si>
  <si>
    <t>SHOUGH00 TESI7 482</t>
  </si>
  <si>
    <t>SHOUWA00 ECS55 075</t>
  </si>
  <si>
    <t>SHOUWA00 ECS66 475</t>
  </si>
  <si>
    <t>OBAGB001 EVS00 483</t>
  </si>
  <si>
    <t>OBAGS001 TES01 422</t>
  </si>
  <si>
    <t>OBAGS002 TES01 347</t>
  </si>
  <si>
    <t>OBAGS002 TESE6 036</t>
  </si>
  <si>
    <t>OBAGS002 TESE6 055</t>
  </si>
  <si>
    <t>HLESD200 ROS05 008</t>
  </si>
  <si>
    <t>HLESD200 ROS05 017</t>
  </si>
  <si>
    <t>OBAGS002 TES01 130</t>
  </si>
  <si>
    <t>OBAGB002 EVS00 486</t>
  </si>
  <si>
    <t>OBAGB024 EVS00 371</t>
  </si>
  <si>
    <t>OBAGB002 EVS18 347</t>
  </si>
  <si>
    <t>OBAGB024 EVS00 422</t>
  </si>
  <si>
    <t>HLESAD00 ECS00 036</t>
  </si>
  <si>
    <t>OBAGS016 TES26 008</t>
  </si>
  <si>
    <t>34</t>
  </si>
  <si>
    <t>OBAGPA06 TESF1 055</t>
  </si>
  <si>
    <t>OBAGPA24 TESE8 227</t>
  </si>
  <si>
    <t>OBAGA000 ECS42 036</t>
  </si>
  <si>
    <t>OBAGA000 ECS42 422</t>
  </si>
  <si>
    <t>OCLKD001 MES86 055</t>
  </si>
  <si>
    <t>OCLKD104 MES90 008</t>
  </si>
  <si>
    <t>OCLKD104 MES92 497</t>
  </si>
  <si>
    <t>OBAGS001 TESG2 076</t>
  </si>
  <si>
    <t>OBAGS009 TES01 026</t>
  </si>
  <si>
    <t>OBAGS010 TESG2 076</t>
  </si>
  <si>
    <t>ACCEO001 TES23 076</t>
  </si>
  <si>
    <t>OCLKD001 MES81 026</t>
  </si>
  <si>
    <t>OBAGB016 EVS19 483</t>
  </si>
  <si>
    <t>OBAGP006 ECS54 215</t>
  </si>
  <si>
    <t>OBAGS009 TES01 422</t>
  </si>
  <si>
    <t>OBAGB001 EVS00 071</t>
  </si>
  <si>
    <t>04</t>
  </si>
  <si>
    <t>OBAGB001 EVS00 017</t>
  </si>
  <si>
    <t>OBAGB016 EVS00 071</t>
  </si>
  <si>
    <t>OBAGS016 TES26 078</t>
  </si>
  <si>
    <t>63</t>
  </si>
  <si>
    <t>OBAGB001 EVS00 158</t>
  </si>
  <si>
    <t>OBAGB002 EVS00 076</t>
  </si>
  <si>
    <t>OBAGB009 EVS00 076</t>
  </si>
  <si>
    <t>OBAGB010 EVS00 076</t>
  </si>
  <si>
    <t>OBAGB019 EVS00 055</t>
  </si>
  <si>
    <t>OBAGB019 EVS00 078</t>
  </si>
  <si>
    <t>OBAGB206 EVS00 075</t>
  </si>
  <si>
    <t>HLESMD00 ECS46 221</t>
  </si>
  <si>
    <t>25</t>
  </si>
  <si>
    <t>OBAGB010 EVS00 371</t>
  </si>
  <si>
    <t>OBAGB016 EVS00 371</t>
  </si>
  <si>
    <t>OBAGS002 TESG2 130</t>
  </si>
  <si>
    <t>OBAGS016 TESH1 008</t>
  </si>
  <si>
    <t>OBAGB206 EVS00 479</t>
  </si>
  <si>
    <t>OBAGS016 TESF8 480</t>
  </si>
  <si>
    <t>SHOUC106 ECS16 483</t>
  </si>
  <si>
    <t>ACCEC002 ECS03 036</t>
  </si>
  <si>
    <t>ACCEC002 ECS03 133</t>
  </si>
  <si>
    <t>HLESAE00 ECS00 075</t>
  </si>
  <si>
    <t>OBAGS018 TESG2 130</t>
  </si>
  <si>
    <t>OBAGS121 TES13 017</t>
  </si>
  <si>
    <t>OBAGT001 TESE8 227</t>
  </si>
  <si>
    <t>SHOUGH00 TESI3 472</t>
  </si>
  <si>
    <t>OBAGP106 TESG5 476</t>
  </si>
  <si>
    <t>HLESG000 ROS04 500</t>
  </si>
  <si>
    <t>OBAGS002 TESE5 036</t>
  </si>
  <si>
    <t>OBAGS002 TES01 422</t>
  </si>
  <si>
    <t>OBAGP106 ECS55 075</t>
  </si>
  <si>
    <t>SHOUWA00 ECS51 371</t>
  </si>
  <si>
    <t>HLESD000 ECS35 076</t>
  </si>
  <si>
    <t>HLESAD00 ECS00 371</t>
  </si>
  <si>
    <t>SHOUWA00 ECS51 036</t>
  </si>
  <si>
    <t>OBAGS016 TESE6 036</t>
  </si>
  <si>
    <t>OBAGS018 TESG2 017</t>
  </si>
  <si>
    <t>OBAGP006 TESE8 227</t>
  </si>
  <si>
    <t>SHOUCF00 ECS35 422</t>
  </si>
  <si>
    <t>OBAGA000 ECS42 371</t>
  </si>
  <si>
    <t>OCLKD104 MES92 498</t>
  </si>
  <si>
    <t>OCLKD104 MES92 499</t>
  </si>
  <si>
    <t>OHUGI002 ECS36 227</t>
  </si>
  <si>
    <t>OHUGB002 EVS06 347</t>
  </si>
  <si>
    <t>OBAGB024 EVS00 479</t>
  </si>
  <si>
    <t>HLESD000 ECS35 017</t>
  </si>
  <si>
    <t>ACCEF001 TESF6 474</t>
  </si>
  <si>
    <t>ACCEO001 TES23 036</t>
  </si>
  <si>
    <t>OCLKD001 MES80 347</t>
  </si>
  <si>
    <t>OCLKD001 MES80 484</t>
  </si>
  <si>
    <t>SHOUWA00 ECS54 479</t>
  </si>
  <si>
    <t>OBAGA000 ECS40 075</t>
  </si>
  <si>
    <t>OHUGI002 ECS69 125</t>
  </si>
  <si>
    <t>SHOUG617 ECS00 054</t>
  </si>
  <si>
    <t>OBAGB017 EVS00 055</t>
  </si>
  <si>
    <t>07</t>
  </si>
  <si>
    <t>OBAGB002 EVS00 158</t>
  </si>
  <si>
    <t>OBAGB206 EVS00 158</t>
  </si>
  <si>
    <t>OBAGS019 TES26 055</t>
  </si>
  <si>
    <t>OBAGB009 EVS00 133</t>
  </si>
  <si>
    <t>OBAGB017 EVS00 071</t>
  </si>
  <si>
    <t>OBAGB010 EVS00 071</t>
  </si>
  <si>
    <t>SHOUA306 ECS42 055</t>
  </si>
  <si>
    <t>27</t>
  </si>
  <si>
    <t>OBAGS016 TES26 055</t>
  </si>
  <si>
    <t>OBAGP106 ECS52 076</t>
  </si>
  <si>
    <t>OBAGB009 EVS00 026</t>
  </si>
  <si>
    <t>OBAGB016 EVS00 347</t>
  </si>
  <si>
    <t>OBAGB016 EVS00 075</t>
  </si>
  <si>
    <t>OBAGB009 EVS00 479</t>
  </si>
  <si>
    <t>OBAGPA24 TESF4 473</t>
  </si>
  <si>
    <t>HLESZ817 TESH8 055</t>
  </si>
  <si>
    <t>OBAGT001 TESF7 475</t>
  </si>
  <si>
    <t>ACCEC002 ECS03 479</t>
  </si>
  <si>
    <t>OBAGS017 TESE6 076</t>
  </si>
  <si>
    <t>ACCEC002 ECS03 422</t>
  </si>
  <si>
    <t>SHOUGG00 TESI2 227</t>
  </si>
  <si>
    <t>HLESAD00 ECS00 076</t>
  </si>
  <si>
    <t>OBAGS002 TESG9 125</t>
  </si>
  <si>
    <t>OBAGB024 EVS00 075</t>
  </si>
  <si>
    <t>OBAGB017 EVS00 479</t>
  </si>
  <si>
    <t>SHOUWA00 TESE5 036</t>
  </si>
  <si>
    <t>OBAGS001 TESE6 055</t>
  </si>
  <si>
    <t>OBAGS001 TESE6 036</t>
  </si>
  <si>
    <t>OBAGS001 TES01 130</t>
  </si>
  <si>
    <t>OBAGS002 TES01 075</t>
  </si>
  <si>
    <t>OBAGS016 TESF8 481</t>
  </si>
  <si>
    <t>OBAGB426 TESF9 009</t>
  </si>
  <si>
    <t>OBAGS102 TESG6 408</t>
  </si>
  <si>
    <t>SHOUCF00 ECS35 055</t>
  </si>
  <si>
    <t>OCLKD001 MES87 026</t>
  </si>
  <si>
    <t>OCLKD001 MES87 422</t>
  </si>
  <si>
    <t>OCLKD001 MES88 347</t>
  </si>
  <si>
    <t>OBAGS016 TES01 026</t>
  </si>
  <si>
    <t>OBAGP006 TESF5 441</t>
  </si>
  <si>
    <t>OBAGP006 TESF6 474</t>
  </si>
  <si>
    <t>OBAGP006 TESF8 481</t>
  </si>
  <si>
    <t>OBAGPA24 TESF6 474</t>
  </si>
  <si>
    <t>OBAGA000 ECS42 479</t>
  </si>
  <si>
    <t>OBAGB009 EVS15 479</t>
  </si>
  <si>
    <t>OBAGP006 TESH2 072</t>
  </si>
  <si>
    <t>OBAGP106 ECS55 479</t>
  </si>
  <si>
    <t>OCLKD101 MES85 483</t>
  </si>
  <si>
    <t>OBAGB018 EVS03 347</t>
  </si>
  <si>
    <t>OBAGB002 EVS00 371</t>
  </si>
  <si>
    <t>OBAGB009 EVS00 017</t>
  </si>
  <si>
    <t>OBAGB017 EVS00 017</t>
  </si>
  <si>
    <t>OBAGB016 EVS00 078</t>
  </si>
  <si>
    <t>OBAGB001 EVS00 422</t>
  </si>
  <si>
    <t>OBAGS121 TES01 054</t>
  </si>
  <si>
    <t>OBAGB018 EVS03 076</t>
  </si>
  <si>
    <t>OBAGB017 EVS00 371</t>
  </si>
  <si>
    <t>OBAGB021 EVS03 078</t>
  </si>
  <si>
    <t>OBAGB001 EVS00 485</t>
  </si>
  <si>
    <t>OCLKE013 MAS00 055</t>
  </si>
  <si>
    <t>OCLKE013 MAS00 059</t>
  </si>
  <si>
    <t>OCLKSB01 INS00 008</t>
  </si>
  <si>
    <t>OCLKSB01 INS00 060</t>
  </si>
  <si>
    <t>OBAGS017 TESH2 036</t>
  </si>
  <si>
    <t>OBAGP006 TESF2 055</t>
  </si>
  <si>
    <t>OBAGS010 TES01 076</t>
  </si>
  <si>
    <t>SHOUGH00 TESI4 241</t>
  </si>
  <si>
    <t>OBAGS002 TESE5 076</t>
  </si>
  <si>
    <t>OBAGS001 TESE6 076</t>
  </si>
  <si>
    <t>OBAGS009 TES01 076</t>
  </si>
  <si>
    <t>OBAGS121 TESF7 475</t>
  </si>
  <si>
    <t>OBAGT001 TESF9 254</t>
  </si>
  <si>
    <t>OBAGP006 TESF4 473</t>
  </si>
  <si>
    <t>OBAGP106 TES13 017</t>
  </si>
  <si>
    <t>SHOUWA00 TESE5 076</t>
  </si>
  <si>
    <t>OBAGS001 TESF9 254</t>
  </si>
  <si>
    <t>OHUGB002 EVS06 026</t>
  </si>
  <si>
    <t>HLESGC00 ECS54 215</t>
  </si>
  <si>
    <t>HLESGC00 ECS54 479</t>
  </si>
  <si>
    <t>OBAGT001 TESG8 061</t>
  </si>
  <si>
    <t>OBAGT002 TESG8 061</t>
  </si>
  <si>
    <t>OBAGT002 TESE8 227</t>
  </si>
  <si>
    <t>OBAGS001 TESG3 481</t>
  </si>
  <si>
    <t>OBAGB206 EVS00 026</t>
  </si>
  <si>
    <t>ACCEP014 ECS35 076</t>
  </si>
  <si>
    <t>OBAGB001 EVS17 055</t>
  </si>
  <si>
    <t>OBAGS118 TESE6 055</t>
  </si>
  <si>
    <t>OBAGS018 TESE6 036</t>
  </si>
  <si>
    <t>OBAGS002 TESE7 055</t>
  </si>
  <si>
    <t>HLESAD00 ECS00 017</t>
  </si>
  <si>
    <t>HLESAD00 ECS00 422</t>
  </si>
  <si>
    <t>HLESZ817 TESH8 076</t>
  </si>
  <si>
    <t>OBAGS016 TES01 347</t>
  </si>
  <si>
    <t>OBAGS017 TESE6 055</t>
  </si>
  <si>
    <t>OBAGPA06 TESF1 008</t>
  </si>
  <si>
    <t>SHOUCF00 ECS35 036</t>
  </si>
  <si>
    <t>OCLKD001 MES86 076</t>
  </si>
  <si>
    <t>OCLKD001 MES86 347</t>
  </si>
  <si>
    <t>OCLKD101 MES91 487</t>
  </si>
  <si>
    <t>OBAGB024 EVS00 026</t>
  </si>
  <si>
    <t>OBAGS001 TESG2 017</t>
  </si>
  <si>
    <t>OBAGS009 TES01 130</t>
  </si>
  <si>
    <t>ACCEF001 TESF5 478</t>
  </si>
  <si>
    <t>OBAGB009 EVS15 371</t>
  </si>
  <si>
    <t>OBAGPA24 ECS53 061</t>
  </si>
  <si>
    <t>SHOUWA00 ECS54 215</t>
  </si>
  <si>
    <t>OBAGPA10 ECS35 479</t>
  </si>
  <si>
    <t>OBAGB010 EVS00 055</t>
  </si>
  <si>
    <t>OBAGB001 EVS00 038</t>
  </si>
  <si>
    <t>OBAGB009 EVS00 075</t>
  </si>
  <si>
    <t>OBAGB018 EVS03 422</t>
  </si>
  <si>
    <t>OBAGB010 EVS00 026</t>
  </si>
  <si>
    <t>OBAGB021 EVS03 371</t>
  </si>
  <si>
    <t>OBAGB001 EVS00 026</t>
  </si>
  <si>
    <t>OBAGB019 EVS00 076</t>
  </si>
  <si>
    <t>OBAGB002 EVS00 479</t>
  </si>
  <si>
    <t>OCLKE013 MAS00 063</t>
  </si>
  <si>
    <t>OCLKSB01 INS00 063</t>
  </si>
  <si>
    <t>SHOUBG00 ECS35 017</t>
  </si>
  <si>
    <t>ACCEC002 ECS03 055</t>
  </si>
  <si>
    <t>OBAGS009 TESG9 125</t>
  </si>
  <si>
    <t>OBAGT002 TESF7 475</t>
  </si>
  <si>
    <t>OBAGB016 EVS00 479</t>
  </si>
  <si>
    <t>OBAGS002 TES01 076</t>
  </si>
  <si>
    <t>OBAGS102 TESG7 017</t>
  </si>
  <si>
    <t>OBAGB018 EVS03 479</t>
  </si>
  <si>
    <t>OBAGB426 ECS67 072</t>
  </si>
  <si>
    <t>OBAGP006 ECS54 072</t>
  </si>
  <si>
    <t>OBAGS016 TESG9 125</t>
  </si>
  <si>
    <t>OBAGS017 TESG3 480</t>
  </si>
  <si>
    <t>OBAGT001 TESH1 008</t>
  </si>
  <si>
    <t>OBAGB016 EVS19 075</t>
  </si>
  <si>
    <t>OHUGI002 ECS70 479</t>
  </si>
  <si>
    <t>OBAGS002 TESF8 481</t>
  </si>
  <si>
    <t>OBAGB010 EVS00 479</t>
  </si>
  <si>
    <t>OBAGS001 TES01 347</t>
  </si>
  <si>
    <t>OBAGB002 EVS00 484</t>
  </si>
  <si>
    <t>OBAGB002 EVS18 371</t>
  </si>
  <si>
    <t>HLESZ817 TESH8 036</t>
  </si>
  <si>
    <t>OBAGS017 TESE6 036</t>
  </si>
  <si>
    <t>OBAGP106 ECS52 055</t>
  </si>
  <si>
    <t>ACCEP014 ECS35 026</t>
  </si>
  <si>
    <t>HLESAD00 ECS00 026</t>
  </si>
  <si>
    <t>OBAGS017 TESG3 481</t>
  </si>
  <si>
    <t>OBAGPA24 TESF5 441</t>
  </si>
  <si>
    <t>OBAGB016 EVS19 371</t>
  </si>
  <si>
    <t>OBAGB016 EVS19 479</t>
  </si>
  <si>
    <t>OBAGP006 ECS54 130</t>
  </si>
  <si>
    <t>OBAGS010 TES01 075</t>
  </si>
  <si>
    <t>OBAGS017 TESH2 072</t>
  </si>
  <si>
    <t>HLESMD00 ECS46 072</t>
  </si>
  <si>
    <t>HLESAD00 ECS00 483</t>
  </si>
  <si>
    <t>OCLKD001 MES83 134</t>
  </si>
  <si>
    <t>OCLKD101 MES85 075</t>
  </si>
  <si>
    <t>OCLKD101 MES85 130</t>
  </si>
  <si>
    <t>OBAGS009 TES01 347</t>
  </si>
  <si>
    <t>OBAGS010 TES01 422</t>
  </si>
  <si>
    <t>OBAGB009 EVS00 038</t>
  </si>
  <si>
    <t>OBAGS017 TES26 078</t>
  </si>
  <si>
    <t>35</t>
  </si>
  <si>
    <t>65</t>
  </si>
  <si>
    <t>OBAGB018 EVS03 055</t>
  </si>
  <si>
    <t>OBAGB002 EVS00 038</t>
  </si>
  <si>
    <t>OBAGB009 EVS00 078</t>
  </si>
  <si>
    <t>HLESMD00 ECS46 055</t>
  </si>
  <si>
    <t>OBAGS017 TES26 055</t>
  </si>
  <si>
    <t>OBAGB021 EVS03 017</t>
  </si>
  <si>
    <t>OBAGB018 EVS03 026</t>
  </si>
  <si>
    <t>OBAGB016 EVS00 026</t>
  </si>
  <si>
    <t>OBAGB002 EVS00 347</t>
  </si>
  <si>
    <t>OCLKSB01 INS00 076</t>
  </si>
  <si>
    <t>OCLKE013 MAS00 422</t>
  </si>
  <si>
    <t>OBAGB206 EVS00 347</t>
  </si>
  <si>
    <t>OBAGP006 TESH2 036</t>
  </si>
  <si>
    <t>OBAGS018 TES26 055</t>
  </si>
  <si>
    <t>37</t>
  </si>
  <si>
    <t>HLESMD00 ECS46 017</t>
  </si>
  <si>
    <t>HLESMD00 ECS46 479</t>
  </si>
  <si>
    <t>OBAGS002 TESE6 076</t>
  </si>
  <si>
    <t>SHOUWA00 ECS51 055</t>
  </si>
  <si>
    <t>OBAGA000 ECS42 017</t>
  </si>
  <si>
    <t>OBAGP006 TESF8 480</t>
  </si>
  <si>
    <t>OBAGS001 TESE7 055</t>
  </si>
  <si>
    <t>HLESX600 ECS00 055</t>
  </si>
  <si>
    <t>OBAGS010 TESE7 055</t>
  </si>
  <si>
    <t>ACCEC002 ECS03 076</t>
  </si>
  <si>
    <t>OBAGPA24 TESG8 061</t>
  </si>
  <si>
    <t>OBAGS001 TESE5 036</t>
  </si>
  <si>
    <t>SHOUWA00 ECS55 479</t>
  </si>
  <si>
    <t>OBAGB002 EVS18 076</t>
  </si>
  <si>
    <t>OBAGS016 TESE6 055</t>
  </si>
  <si>
    <t>ACCEC002 ECS65 076</t>
  </si>
  <si>
    <t>OBAGB002 EVS18 422</t>
  </si>
  <si>
    <t>OBAGS016 TES01 422</t>
  </si>
  <si>
    <t>OBAGS018 TES26 008</t>
  </si>
  <si>
    <t>OBAGPA06 TESF1 036</t>
  </si>
  <si>
    <t>OBAGA000 ECS42 076</t>
  </si>
  <si>
    <t>ACCEP014 ECS35 017</t>
  </si>
  <si>
    <t>ACCEP014 ECS35 036</t>
  </si>
  <si>
    <t>OCLKD001 MES87 055</t>
  </si>
  <si>
    <t>OCLKD001 MES88 076</t>
  </si>
  <si>
    <t>OCLKD104 MES90 055</t>
  </si>
  <si>
    <t>HLESZ817 TESI5 488</t>
  </si>
  <si>
    <t>OBAGS002 TESG2 017</t>
  </si>
  <si>
    <t>OBAGPA10 ECS35 017</t>
  </si>
  <si>
    <t>OBAGB009 EVS15 075</t>
  </si>
  <si>
    <t>OBAGS002 TESH2 072</t>
  </si>
  <si>
    <t>HLESMD00 ECS46 483</t>
  </si>
  <si>
    <t>OBAGA000 ECS42 026</t>
  </si>
  <si>
    <t>OBAGB001 EVS00 078</t>
  </si>
  <si>
    <t>OBAGB001 EVS00 055</t>
  </si>
  <si>
    <t>OBAGB010 EVS00 017</t>
  </si>
  <si>
    <t>OBAGB001 EVS00 075</t>
  </si>
  <si>
    <t>OBAGB206 EVS00 071</t>
  </si>
  <si>
    <t>OBAGB019 EVS00 422</t>
  </si>
  <si>
    <t>OBAGB009 EVS00 371</t>
  </si>
  <si>
    <t>OBAGB002 EVS00 026</t>
  </si>
  <si>
    <t>OBAGB019 EVS00 347</t>
  </si>
  <si>
    <t>OBAGT001 TESF8 480</t>
  </si>
  <si>
    <t>OBAGB001 EVS00 484</t>
  </si>
  <si>
    <t>OBAGB426 TESG7 017</t>
  </si>
  <si>
    <t>OBAGS002 TESF8 480</t>
  </si>
  <si>
    <t>OBAGS010 TESE3 227</t>
  </si>
  <si>
    <t>OBAGS002 TESF9 254</t>
  </si>
  <si>
    <t>OBAGS016 TESE6 076</t>
  </si>
  <si>
    <t>SHOUWA00 ECS54 075</t>
  </si>
  <si>
    <t>OBAGB426 TESF7 475</t>
  </si>
  <si>
    <t>OBAGS001 TESH1 008</t>
  </si>
  <si>
    <t>OBAGS017 TESH1 008</t>
  </si>
  <si>
    <t>OBAGPA06 TESF1 076</t>
  </si>
  <si>
    <t>OBAGS001 TESG2 130</t>
  </si>
  <si>
    <t>OBAGPA24 ECS53 072</t>
  </si>
  <si>
    <t>OBAGS001 TESE5 076</t>
  </si>
  <si>
    <t>ACCEC002 ECS03 026</t>
  </si>
  <si>
    <t>OBAGP006 TESG8 061</t>
  </si>
  <si>
    <t>OBAGS001 TESG9 125</t>
  </si>
  <si>
    <t>SHOUBG00 MAS10 055</t>
  </si>
  <si>
    <t>OBAGB002 EVS18 055</t>
  </si>
  <si>
    <t>OBAGB024 EVS00 055</t>
  </si>
  <si>
    <t>OBAGT001 TESF8 481</t>
  </si>
  <si>
    <t>HLESD000 ECS35 371</t>
  </si>
  <si>
    <t>Codes barre non renseignés</t>
  </si>
  <si>
    <t>(Plusieurs éléments)</t>
  </si>
  <si>
    <t xml:space="preserve">Client 002487 Facture pro forma Pag 1 </t>
  </si>
  <si>
    <t>Année 2018 Index 50 N. 46 Date 25/01/2018 Échéance</t>
  </si>
  <si>
    <t>Exemption VEND.N.I.ART.41 L.427/93 UE</t>
  </si>
  <si>
    <t xml:space="preserve">Document Date doc. Client dest. 002488 O BAG STORE BLAGNAC </t>
  </si>
  <si>
    <t xml:space="preserve">N° Com 2018 01/OBAG/1280 </t>
  </si>
  <si>
    <t xml:space="preserve">Client 002487 Facture pro forma Pag 2 </t>
  </si>
  <si>
    <t xml:space="preserve">Client 002487 Facture pro forma Pag 3 </t>
  </si>
  <si>
    <t xml:space="preserve">Client 002487 Facture pro forma Pag 4 </t>
  </si>
  <si>
    <t xml:space="preserve">Client 002487 Facture pro forma Pag 5 </t>
  </si>
  <si>
    <t xml:space="preserve">Client 002487 Facture pro forma Pag 6 </t>
  </si>
  <si>
    <t xml:space="preserve">Client 002487 Facture pro forma Pag 7 </t>
  </si>
  <si>
    <t xml:space="preserve">Client 002487 Facture pro forma Pag 8 </t>
  </si>
  <si>
    <t xml:space="preserve">Client 002487 Facture pro forma Pag 9 </t>
  </si>
  <si>
    <t xml:space="preserve">Client 002487 Facture pro forma Pag 10 </t>
  </si>
  <si>
    <t xml:space="preserve">Client 002487 Facture pro forma Pag 11 </t>
  </si>
  <si>
    <t xml:space="preserve">Client 002487 Facture pro forma Pag 12 </t>
  </si>
  <si>
    <t xml:space="preserve">Client 002487 Facture pro forma Pag 13 </t>
  </si>
  <si>
    <t xml:space="preserve">Client 002487 Facture pro forma Pag 14 </t>
  </si>
  <si>
    <t xml:space="preserve">Client 002487 Facture pro forma Pag 15 </t>
  </si>
  <si>
    <t xml:space="preserve">Client 002487 Facture pro forma Pag 16 </t>
  </si>
  <si>
    <t xml:space="preserve">Client 002487 Facture pro forma Pag 17 </t>
  </si>
  <si>
    <t xml:space="preserve">Client 002487 Facture pro forma Pag 18 </t>
  </si>
  <si>
    <t xml:space="preserve">Client 002487 Facture pro forma Pag 19 </t>
  </si>
  <si>
    <t xml:space="preserve">Client 002487 Facture pro forma Pag 20 </t>
  </si>
  <si>
    <t xml:space="preserve">Client 002487 Facture pro forma Pag 21 </t>
  </si>
  <si>
    <t xml:space="preserve">Client 002487 Facture pro forma Pag 22 </t>
  </si>
  <si>
    <t xml:space="preserve">Client 002487 Facture pro forma Pag 23 </t>
  </si>
  <si>
    <t xml:space="preserve">Client 002487 Facture pro forma Pag 24 </t>
  </si>
  <si>
    <t xml:space="preserve">Client 002487 Facture pro forma Pag 25 </t>
  </si>
  <si>
    <t xml:space="preserve">Client 002487 Facture pro forma Pag 26 </t>
  </si>
  <si>
    <t xml:space="preserve">Client 002487 Facture pro forma Pag 27 </t>
  </si>
  <si>
    <t xml:space="preserve">Client 002487 Facture pro forma Pag 28 </t>
  </si>
  <si>
    <t xml:space="preserve">Client 002487 Facture pro forma Pag 29 </t>
  </si>
  <si>
    <t xml:space="preserve">Client 002487 Facture pro forma Pag 30 </t>
  </si>
  <si>
    <t xml:space="preserve">Client 002487 Facture pro forma Pag 31 </t>
  </si>
  <si>
    <t xml:space="preserve">Client 002487 Facture pro forma Pag 32 </t>
  </si>
  <si>
    <t xml:space="preserve">Client 002487 Facture pro forma Pag 33 </t>
  </si>
  <si>
    <t xml:space="preserve">Client 002487 Facture pro forma Pag 34 </t>
  </si>
  <si>
    <t xml:space="preserve">Client 002487 Facture pro forma Pag 35 </t>
  </si>
  <si>
    <t xml:space="preserve">Client 002487 Facture pro forma Pag 36 </t>
  </si>
  <si>
    <t xml:space="preserve">Client 002487 Facture pro forma Pag 37 </t>
  </si>
  <si>
    <t xml:space="preserve">Client 002487 Facture pro forma Pag 38 </t>
  </si>
  <si>
    <t xml:space="preserve">Client 002487 Facture pro forma Pag 39 </t>
  </si>
  <si>
    <t xml:space="preserve">Client 002487 Facture pro forma Pag 40 </t>
  </si>
  <si>
    <t xml:space="preserve">Client 002487 Facture pro forma Pag 41 </t>
  </si>
  <si>
    <t xml:space="preserve">Client 002487 Facture pro forma Pag 42 </t>
  </si>
  <si>
    <t xml:space="preserve">Client 002487 Facture pro forma Pag 43 </t>
  </si>
  <si>
    <t xml:space="preserve">Client 002487 Facture pro forma Pag 44 </t>
  </si>
  <si>
    <t xml:space="preserve">Client 002487 Facture pro forma Pag 45 </t>
  </si>
  <si>
    <t xml:space="preserve">Client 002487 Facture pro forma Pag 46 </t>
  </si>
  <si>
    <t xml:space="preserve">Client 002487 Facture pro forma Pag 47 </t>
  </si>
  <si>
    <t xml:space="preserve">Client 002487 Facture pro forma Pag 48 </t>
  </si>
  <si>
    <t xml:space="preserve">Client 002487 Facture pro forma Pag 49 </t>
  </si>
  <si>
    <t xml:space="preserve">Client 002487 Facture pro forma Pag 50 </t>
  </si>
  <si>
    <t xml:space="preserve">Client 002487 Facture pro forma Pag 51 </t>
  </si>
  <si>
    <t xml:space="preserve">Client 002487 Facture pro forma Pag 52 </t>
  </si>
  <si>
    <t xml:space="preserve">Client 002487 Facture pro forma Pag 53 </t>
  </si>
  <si>
    <t xml:space="preserve">Client 002487 Facture pro forma Pag 54 </t>
  </si>
  <si>
    <t xml:space="preserve">Client 002487 Facture pro forma Pag 55 </t>
  </si>
  <si>
    <t xml:space="preserve">Client 002487 Facture pro forma Pag 56 </t>
  </si>
  <si>
    <t xml:space="preserve">Client 002487 Facture pro forma Pag 57 </t>
  </si>
  <si>
    <t xml:space="preserve">N° Com // </t>
  </si>
  <si>
    <t xml:space="preserve">Client 002487 Facture pro forma Pag 59 </t>
  </si>
  <si>
    <t xml:space="preserve">Montant brut 0,00 Brut frais </t>
  </si>
  <si>
    <t xml:space="preserve">Tot.remise en-tête 0,00 </t>
  </si>
  <si>
    <t>71,28</t>
  </si>
  <si>
    <t>O HUG INTÉRIEUR PORTEFEUILLE FEMME EN FAUX CUIR AVEC BRISÉ</t>
  </si>
  <si>
    <t>57,96</t>
  </si>
  <si>
    <t>POCHETTE INTÉRIEURE À COULISSE O SWING EN TISSU CANVAS</t>
  </si>
  <si>
    <t>CORPS O SWING EVA COMPOUND EFFET OSIER</t>
  </si>
  <si>
    <t>57,6</t>
  </si>
  <si>
    <t>BANDEAU BRACELET FOULARD TISSU LUXURY CÔTELÉ</t>
  </si>
  <si>
    <t>28,32</t>
  </si>
  <si>
    <t>ANSES SPORTY + BRETELLE O SQUARE TISSU RUBAN MARINA BICOLORE</t>
  </si>
  <si>
    <t>POCHETTE INTÉRIEURE FERMETURE ÉCLAIR O BAG BEACH MINI EN TISSU CANVAS + RUBAN</t>
  </si>
  <si>
    <t>O HUG CORPS PORTEFEUILLE FEMME EVA COMPOUND TEXTURE GRECQUE</t>
  </si>
  <si>
    <t>38,4</t>
  </si>
  <si>
    <t>RABAT TOURNIQUET O POCKET EN TISSU NYC VICHY</t>
  </si>
  <si>
    <t>POCHETTE INTÉRIEURE FERMETURE ÉCLAIR O BAG BEACH MINI EN TISSU DEAUVILLE À RAYURES NUANC</t>
  </si>
  <si>
    <t>POCHETTE INTÉRIEURE À COULISSE O SWING EN TISSU DEAUVILLE À RAYURES NUANCÉES</t>
  </si>
  <si>
    <t>POCHETTE INTÉRIEURE À COULISSE O BAG BEACH MINI EN TISSU NYC À RAYURES BICOLORE</t>
  </si>
  <si>
    <t>53,76</t>
  </si>
  <si>
    <t>BANDOULIÈRE 80 + GOUTTE TROUÉE EN FAUX CUIR + TISSU DEAUVILLE À RAYURES EFFET FLAMMÉ</t>
  </si>
  <si>
    <t>76,32</t>
  </si>
  <si>
    <t>POCHETTE INTÉRIEURE À COULISSE O SWING EN TISSU DENIM</t>
  </si>
  <si>
    <t>O HUG INTÉRIEUR PORTEFEUILLE FEMME EN FAUX CUIR À RAYURES</t>
  </si>
  <si>
    <t>72,48</t>
  </si>
  <si>
    <t>BANDEAU BRACELET FOULARD TISSU LUXURY STRIPES</t>
  </si>
  <si>
    <t>O HUG INTÉRIEUR PORTEFEUILLE FEMME EN FAUX CUIR + FANTAISIE À FLEURS SUR RAYURES</t>
  </si>
  <si>
    <t>POCHETTE INTÉRIEURE FERMETURE ÉCLAIR O SQUARE EN TISSU CORDURA</t>
  </si>
  <si>
    <t>226,8</t>
  </si>
  <si>
    <t>RABAT TOURNIQUET O POCKET EN MICRO TISSU LUXURY CÔTELÉ</t>
  </si>
  <si>
    <t>ANSES + BRETELLE COURTE GOUTTE O SQUARE EN TISSU CAOUTCHOUTÉ RUBAN À RAYURES TECHNIQU</t>
  </si>
  <si>
    <t>REVERS O BAG EN TISSU DEAUVILLE À RAYURES EFFET FLAMMÉ</t>
  </si>
  <si>
    <t>39,96</t>
  </si>
  <si>
    <t>POCHETTE INTÉRIEURE FERMETURE ÉCLAIR O BAG EN TISSU NYC À RAYURES BICOLORE</t>
  </si>
  <si>
    <t>50,4</t>
  </si>
  <si>
    <t>POCHETTE INTÉRIEURE À COULISSE O SWING EN TISSU DEAUVILLE À RAYURES EFFET FLAMMÉ</t>
  </si>
  <si>
    <t>RABAT O POCKET EN TISSU LUXURY CÔTELÉ</t>
  </si>
  <si>
    <t>32,04</t>
  </si>
  <si>
    <t>48,96</t>
  </si>
  <si>
    <t>POCHETTE INTÉRIEURE FERMETURE ÉCLAIR O BAG BEACH MINI EN TISSU NYC À RAYURES BICOLORE</t>
  </si>
  <si>
    <t>BANDEAU BRACELET FOULARD TISSU LUXURY DRIPPING</t>
  </si>
  <si>
    <t>REVERS O BAG MINI EN TISSU DEAUVILLE À RAYURES EFFET FLAMMÉ</t>
  </si>
  <si>
    <t>Inconnu</t>
  </si>
  <si>
    <t>Vide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</si>
</sst>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 * #,##0.00_)\ &quot;€&quot;_ ;_ * \(#,##0.00\)\ &quot;€&quot;_ ;_ * &quot;-&quot;??_)\ &quot;€&quot;_ ;_ @_ "/>
    <numFmt numFmtId="164" formatCode="000"/>
    <numFmt numFmtId="165" formatCode="#,##0.00\ &quot;€&quot;"/>
  </numFmts>
  <fonts count="17" x14ac:knownFonts="1"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u/>
      <sz val="11"/>
      <color theme="11"/>
      <name val="Calibri"/>
      <family val="2"/>
    </font>
    <font>
      <sz val="12"/>
      <color rgb="FF000000"/>
      <name val="Lucida Grande"/>
    </font>
    <font>
      <b/>
      <sz val="11"/>
      <color rgb="FF000000"/>
      <name val="Calibri"/>
    </font>
    <font>
      <sz val="14"/>
      <color rgb="FF000000"/>
      <name val="Calibri"/>
    </font>
    <font>
      <sz val="8"/>
      <name val="Calibri"/>
      <family val="2"/>
    </font>
    <font>
      <sz val="16"/>
      <color rgb="FF000000"/>
      <name val="Calibri"/>
    </font>
    <font>
      <sz val="11"/>
      <color rgb="FF000000"/>
      <name val="Calibri"/>
      <family val="2"/>
      <scheme val="minor"/>
    </font>
    <font>
      <b/>
      <sz val="14"/>
      <color rgb="FF000000"/>
      <name val="Calibri"/>
    </font>
    <font>
      <sz val="7"/>
      <color rgb="FF000000"/>
      <name val="Arial,Bold"/>
    </font>
    <font>
      <sz val="7"/>
      <color rgb="FF000000"/>
      <name val="Arial"/>
    </font>
    <font>
      <sz val="10"/>
      <color rgb="FF000000"/>
      <name val="Arial,Bold"/>
    </font>
    <font>
      <sz val="9"/>
      <color rgb="FF000000"/>
      <name val="Arial,Bold"/>
    </font>
    <font>
      <sz val="12"/>
      <color indexed="72"/>
      <name val="Lucida Grande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BFBFBF"/>
        <bgColor rgb="FF000000"/>
      </patternFill>
    </fill>
  </fills>
  <borders count="3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</borders>
  <cellStyleXfs count="129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164" fontId="0" fillId="0" borderId="0" xfId="0" applyNumberFormat="1"/>
    <xf numFmtId="44" fontId="6" fillId="2" borderId="0" xfId="29" applyFont="1" applyFill="1"/>
    <xf numFmtId="165" fontId="0" fillId="0" borderId="0" xfId="0" applyNumberFormat="1"/>
    <xf numFmtId="0" fontId="7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9" fillId="0" borderId="0" xfId="0" applyFont="1"/>
    <xf numFmtId="0" fontId="1" fillId="3" borderId="0" xfId="44" applyFill="1"/>
    <xf numFmtId="0" fontId="1" fillId="0" borderId="0" xfId="44"/>
    <xf numFmtId="0" fontId="10" fillId="0" borderId="0" xfId="44" applyFont="1" applyAlignment="1">
      <alignment horizontal="left"/>
    </xf>
    <xf numFmtId="0" fontId="10" fillId="0" borderId="0" xfId="44" applyFont="1"/>
    <xf numFmtId="0" fontId="0" fillId="4" borderId="0" xfId="0" applyFill="1"/>
    <xf numFmtId="1" fontId="0" fillId="0" borderId="0" xfId="0" applyNumberFormat="1"/>
    <xf numFmtId="1" fontId="6" fillId="0" borderId="0" xfId="0" applyNumberFormat="1" applyFont="1"/>
    <xf numFmtId="0" fontId="11" fillId="0" borderId="0" xfId="0" applyFont="1"/>
    <xf numFmtId="0" fontId="12" fillId="0" borderId="0" xfId="0" applyFont="1"/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0" xfId="0" applyFont="1"/>
    <xf numFmtId="0" fontId="15" fillId="0" borderId="0" xfId="0" applyFont="1"/>
    <xf numFmtId="0" fontId="14" fillId="0" borderId="0" xfId="0" applyFont="1"/>
    <xf numFmtId="0" fontId="12" fillId="0" borderId="0" xfId="0" applyFont="1" applyAlignment="1">
      <alignment vertical="center" wrapText="1"/>
    </xf>
    <xf numFmtId="14" fontId="13" fillId="0" borderId="0" xfId="0" applyNumberFormat="1" applyFont="1"/>
    <xf numFmtId="0" fontId="12" fillId="0" borderId="0" xfId="0" applyFont="1" applyAlignment="1">
      <alignment vertical="center" wrapText="1"/>
    </xf>
    <xf numFmtId="0" fontId="0" fillId="0" borderId="2" xfId="0" applyBorder="1" applyAlignment="1">
      <alignment vertical="center" wrapText="1"/>
    </xf>
    <xf numFmtId="0" fontId="13" fillId="0" borderId="2" xfId="0" applyFont="1" applyBorder="1" applyAlignment="1">
      <alignment vertical="center" wrapText="1"/>
    </xf>
    <xf numFmtId="0" fontId="12" fillId="0" borderId="2" xfId="0" applyFont="1" applyBorder="1" applyAlignment="1">
      <alignment vertical="center" wrapText="1"/>
    </xf>
    <xf numFmtId="0" fontId="12" fillId="7" borderId="2" xfId="0" applyFont="1" applyFill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12" fillId="5" borderId="1" xfId="0" applyFont="1" applyFill="1" applyBorder="1" applyAlignment="1">
      <alignment vertical="center" wrapText="1"/>
    </xf>
    <xf numFmtId="0" fontId="13" fillId="6" borderId="1" xfId="0" applyFont="1" applyFill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12" fillId="5" borderId="2" xfId="0" applyFont="1" applyFill="1" applyBorder="1" applyAlignment="1">
      <alignment vertical="center" wrapText="1"/>
    </xf>
  </cellXfs>
  <cellStyles count="129">
    <cellStyle name="Lien hypertexte" xfId="2" builtinId="8" hidden="1"/>
    <cellStyle name="Lien hypertexte" xfId="4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 visité" xfId="3" builtinId="9" hidden="1"/>
    <cellStyle name="Lien hypertexte visité" xfId="5" builtinId="9" hidden="1"/>
    <cellStyle name="Lien hypertexte visité" xfId="6" builtinId="9" hidden="1"/>
    <cellStyle name="Lien hypertexte visité" xfId="7" builtinId="9" hidden="1"/>
    <cellStyle name="Lien hypertexte visité" xfId="8" builtinId="9" hidden="1"/>
    <cellStyle name="Lien hypertexte visité" xfId="9" builtinId="9" hidden="1"/>
    <cellStyle name="Lien hypertexte visité" xfId="10" builtinId="9" hidden="1"/>
    <cellStyle name="Lien hypertexte visité" xfId="11" builtinId="9" hidden="1"/>
    <cellStyle name="Lien hypertexte visité" xfId="12" builtinId="9" hidden="1"/>
    <cellStyle name="Lien hypertexte visité" xfId="13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Monétaire" xfId="29" builtinId="4"/>
    <cellStyle name="Normal" xfId="0" builtinId="0"/>
    <cellStyle name="Normal 2" xfId="1"/>
    <cellStyle name="Normal 3" xfId="44"/>
  </cellStyles>
  <dxfs count="90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pivotCacheDefinition" Target="pivotCache/pivotCacheDefinition2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0</xdr:row>
          <xdr:rowOff>139700</xdr:rowOff>
        </xdr:from>
        <xdr:to>
          <xdr:col>8</xdr:col>
          <xdr:colOff>0</xdr:colOff>
          <xdr:row>2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Extraire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0</xdr:row>
          <xdr:rowOff>114300</xdr:rowOff>
        </xdr:from>
        <xdr:to>
          <xdr:col>4</xdr:col>
          <xdr:colOff>101600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Rechercher Codes barre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0</xdr:row>
          <xdr:rowOff>152400</xdr:rowOff>
        </xdr:from>
        <xdr:to>
          <xdr:col>7</xdr:col>
          <xdr:colOff>203200</xdr:colOff>
          <xdr:row>2</xdr:row>
          <xdr:rowOff>25400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RAZ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an Lestang" refreshedDate="43131.911322106484" createdVersion="4" refreshedVersion="4" minRefreshableVersion="3" recordCount="1">
  <cacheSource type="worksheet">
    <worksheetSource ref="B4:K5" sheet="Extraction"/>
  </cacheSource>
  <cacheFields count="10">
    <cacheField name="n°" numFmtId="0">
      <sharedItems containsSemiMixedTypes="0" containsString="0" containsNumber="1" containsInteger="1" minValue="1" maxValue="1"/>
    </cacheField>
    <cacheField name="Code produit" numFmtId="0">
      <sharedItems containsBlank="1" count="166">
        <s v="OBAGS001 TES01"/>
        <m u="1"/>
        <s v="OBAGB426 TESF9" u="1"/>
        <s v="OBAGS010 TESH1" u="1"/>
        <s v="OBAGB002 EVS00" u="1"/>
        <s v="OHUGB002 EVS06" u="1"/>
        <s v="OCLKSB01 INS00" u="1"/>
        <s v="OBAGT002 TESF7" u="1"/>
        <s v="OBAGS017 TESG3" u="1"/>
        <s v="OBAGP006 TESF4" u="1"/>
        <s v="OBAGS016 TESH1" u="1"/>
        <s v="HLESGC00 ROS04" u="1"/>
        <s v="OCLKD104 MES92" u="1"/>
        <s v="SHOUWA00 ECS54" u="1"/>
        <s v="SHOUBG00 MAS10" u="1"/>
        <s v="ACCEO001 TES23" u="1"/>
        <s v="OBAGS016 TES26" u="1"/>
        <s v="OBAGB021 EVS03" u="1"/>
        <s v="OBAGS010 TES01" u="1"/>
        <s v="HLESD200 ROS05" u="1"/>
        <s v="OBAGS002 TESG9" u="1"/>
        <s v="SHOUWA00 TESE5" u="1"/>
        <s v="ACCEF001 TESF6" u="1"/>
        <s v="SHOUGG00 TESI1" u="1"/>
        <s v="OBAGS019 TES26" u="1"/>
        <s v="OBAGS017 TESE3" u="1"/>
        <s v="ACCEP014 ECS35" u="1"/>
        <s v="OBAGB426 MAS09" u="1"/>
        <s v="HLESD000 ECS35" u="1"/>
        <s v="OBAGS002 TESF9" u="1"/>
        <s v="HLESZ817 TESI4" u="1"/>
        <s v="OBAGS121 TES01" u="1"/>
        <s v="OBAGS016 TES01" u="1"/>
        <s v="OBAGB426 ECS67" u="1"/>
        <s v="OBAGS016 TESE6" u="1"/>
        <s v="OBAGT002 TESH1" u="1"/>
        <s v="OCLKD001 MES88" u="1"/>
        <s v="OBAGS001 TESG2" u="1"/>
        <s v="OCLKD001 MES83" u="1"/>
        <s v="HLESAD00 ECS00" u="1"/>
        <s v="OCLKE013 MAS00" u="1"/>
        <s v="OBAGS009 TES01" u="1"/>
        <s v="OBAGS017 TESH2" u="1"/>
        <s v="SHOUGH00 TESI4" u="1"/>
        <s v="OBAGP006 TESG8" u="1"/>
        <s v="OBAGS102 TESG7" u="1"/>
        <s v="OHUGI002 ECS69" u="1"/>
        <s v="OBAGS018 TESF9" u="1"/>
        <s v="OBAGB001 EVS17" u="1"/>
        <s v="OBAGS010 TESG5" u="1"/>
        <s v="OCLKD101 MES91" u="1"/>
        <s v="OBAGS001 TESE7" u="1"/>
        <s v="OBAGP006 TESF8" u="1"/>
        <s v="OBAGPA24 TESF6" u="1"/>
        <s v="HLESX600 ECS00" u="1"/>
        <s v="OBAGA000 ECS40" u="1"/>
        <s v="OBAGP006 TESE8" u="1"/>
        <s v="OBAGT001 TESF9" u="1"/>
        <s v="ACCEF001 TESF5" u="1"/>
        <s v="OBAGS001 TESH1" u="1"/>
        <s v="OBAGB010 EVS00" u="1"/>
        <s v="OBAGS002 TESF8" u="1"/>
        <s v="OBAGP106 ECS55" u="1"/>
        <s v="OBAGB426 TESG7" u="1"/>
        <s v="OBAGB002 EVS18" u="1"/>
        <s v="OCLKD001 MES87" u="1"/>
        <s v="OBAGB009 EVS15" u="1"/>
        <s v="OCLKD001 MES82" u="1"/>
        <s v="OBAGP006 TESH2" u="1"/>
        <s v="HLESG000 ROS04" u="1"/>
        <s v="HLESZ817 TESH8" u="1"/>
        <s v="OBAGB016 EVS00" u="1"/>
        <s v="OBAGB426 TESF7" u="1"/>
        <s v="OBAGS017 TESH1" u="1"/>
        <s v="SHOUGH00 TESI3" u="1"/>
        <s v="OBAGS102 TESG6" u="1"/>
        <s v="OBAGB009 EVS00" u="1"/>
        <s v="OBAGB019 EVS00" u="1"/>
        <s v="OBAGS017 TES26" u="1"/>
        <s v="HLESGC00 ECS54" u="1"/>
        <s v="OBAGS001 TESE6" u="1"/>
        <s v="OBAGP006 TESF2" u="1"/>
        <s v="OBAGT001 TESG8" u="1"/>
        <s v="OCLKD104 MES90" u="1"/>
        <s v="OBAGPA24 TESF5" u="1"/>
        <s v="OCLKD101 MES85" u="1"/>
        <s v="OBAGS002 TESH2" u="1"/>
        <s v="OBAGB018 EVS03" u="1"/>
        <s v="SHOUC106 ECS16" u="1"/>
        <s v="OBAGS016 TESG9" u="1"/>
        <s v="OBAGT001 TESF8" u="1"/>
        <s v="OBAGS009 TESG9" u="1"/>
        <s v="ACCEF001 TESF4" u="1"/>
        <s v="OBAGP106 TESG5" u="1"/>
        <s v="OBAGS017 TESE6" u="1"/>
        <s v="OBAGS002 TESG2" u="1"/>
        <s v="OBAGS121 TESF9" u="1"/>
        <s v="OBAGT001 TESE8" u="1"/>
        <s v="OBAGT001 TESE3" u="1"/>
        <s v="SHOUG617 ECS00" u="1"/>
        <s v="OBAGB016 EVS19" u="1"/>
        <s v="OBAGS118 TESE6" u="1"/>
        <s v="OBAGB426 TESG6" u="1"/>
        <s v="OCLKD001 MES86" u="1"/>
        <s v="ACCEC002 ECS03" u="1"/>
        <s v="OBAGPA06 TESE3" u="1"/>
        <s v="OCLKD001 MES81" u="1"/>
        <s v="OBAGS002 TESE7" u="1"/>
        <s v="OBAGS018 TESG2" u="1"/>
        <s v="SHOUA306 ECS42" u="1"/>
        <s v="SHOUGH00 TESI7" u="1"/>
        <s v="SHOUCF00 ECS35" u="1"/>
        <s v="SHOUWA00 ECS66" u="1"/>
        <s v="OBAGS001 TESE5" u="1"/>
        <s v="OBAGP006 TESF6" u="1"/>
        <s v="OBAGB001 EVS00" u="1"/>
        <s v="OBAGS010 TESF8" u="1"/>
        <s v="OBAGPA24 TESF4" u="1"/>
        <s v="OBAGS010 TESF3" u="1"/>
        <s v="OBAGPA24 ECS53" u="1"/>
        <s v="OBAGS002 TESH1" u="1"/>
        <s v="SHOUWA00 ECS51" u="1"/>
        <s v="OBAGS121 TESG8" u="1"/>
        <s v="OBAGT001 TESF7" u="1"/>
        <s v="HLESMD00 ECS46" u="1"/>
        <s v="OBAGS010 TESE3" u="1"/>
        <s v="OBAGS121 TES13" u="1"/>
        <s v="OBAGB024 EVS00" u="1"/>
        <s v="OBAGS016 TESF8" u="1"/>
        <s v="OBAGB017 EVS00" u="1"/>
        <s v="OBAGS001 TESG9" u="1"/>
        <s v="OBAGS018 TES26" u="1"/>
        <s v="OCLKD001 MES80" u="1"/>
        <s v="OBAGS002 TES01" u="1"/>
        <s v="OBAGB206 EVS00" u="1"/>
        <s v="OBAGS002 TESE6" u="1"/>
        <s v="OBAGT002 TESG8" u="1"/>
        <s v="OBAGS001 TESF9" u="1"/>
        <s v="OBAGT002 TESG3" u="1"/>
        <s v="OBAGT001 TESH1" u="1"/>
        <s v="OBAGPA24 TESG8" u="1"/>
        <s v="OBAGS010 TESG2" u="1"/>
        <s v="SHOUBG00 ECS35" u="1"/>
        <s v="OBAGP006 TESF5" u="1"/>
        <s v="OBAGP006 ECS54" u="1"/>
        <s v="OBAGS018 TESE6" u="1"/>
        <s v="OBAGT002 TESE8" u="1"/>
        <s v="SHOUWA00 ECS55" u="1"/>
        <s v="HLESAE00 ECS00" u="1"/>
        <s v="OBAGA000 ECS42" u="1"/>
        <s v="OBAGT002 TESE3" u="1"/>
        <s v="OBAGPA24 TESE8" u="1"/>
        <s v="OBAGS010 TESE7" u="1"/>
        <s v="SHOUGG00 TESI2" u="1"/>
        <s v="OBAGS121 TESF7" u="1"/>
        <s v="OHUGI002 ECS36" u="1"/>
        <s v="OBAGP106 TES13" u="1"/>
        <s v="OBAGPA06 TESF1" u="1"/>
        <s v="ACCEC002 ECS65" u="1"/>
        <s v="HLESZ817 TESI5" u="1"/>
        <s v="OBAGP106 ECS52" u="1"/>
        <s v="OBAGPA10 ECS35" u="1"/>
        <s v="OBAGS001 TESG3" u="1"/>
        <s v="OCLKD001 MES84" u="1"/>
        <s v="OHUGI002 ECS70" u="1"/>
        <s v="OBAGS002 TESE5" u="1"/>
      </sharedItems>
    </cacheField>
    <cacheField name="Code" numFmtId="0">
      <sharedItems containsSemiMixedTypes="0" containsString="0" containsNumber="1" containsInteger="1" minValue="26" maxValue="26"/>
    </cacheField>
    <cacheField name="Couleur" numFmtId="0">
      <sharedItems containsBlank="1" count="68">
        <s v="[26]"/>
        <m u="1"/>
        <s v="NAVY BLUE" u="1"/>
        <s v="VOLCANO [158]" u="1"/>
        <s v="[474]" u="1"/>
        <s v="[484]" u="1"/>
        <s v="[36]" u="1"/>
        <s v="[38]" u="1"/>
        <s v="NAVY BLUE [17]" u="1"/>
        <s v="GOLD" u="1"/>
        <s v="[500]" u="1"/>
        <s v="GOLD [61]" u="1"/>
        <s v="WHITE [8]" u="1"/>
        <s v="[475]" u="1"/>
        <s v="[485]" u="1"/>
        <s v="SAND" u="1"/>
        <s v="[25]" u="1"/>
        <s v="VOLCANO [215]" u="1"/>
        <s v="SANGRIA [422]" u="1"/>
        <s v="[254]" u="1"/>
        <s v="BLACK [59]" u="1"/>
        <s v="[89]" u="1"/>
        <s v="LIGHT GREY [133]" u="1"/>
        <s v="[470]" u="1"/>
        <s v="[480]" u="1"/>
        <s v="MILK [371]" u="1"/>
        <s v="[476]" u="1"/>
        <s v="[486]" u="1"/>
        <s v="BLACK [55]" u="1"/>
        <s v="[72]" u="1"/>
        <s v="BLACK" u="1"/>
        <s v="[134]" u="1"/>
        <s v="[75]" u="1"/>
        <s v="[76]" u="1"/>
        <s v="VOLCANO" u="1"/>
        <s v="[441]" u="1"/>
        <s v="ROCK" u="1"/>
        <s v="[471]" u="1"/>
        <s v="[481]" u="1"/>
        <s v="ROCK [71]" u="1"/>
        <s v="[487]" u="1"/>
        <s v="[497]" u="1"/>
        <s v="[9]" u="1"/>
        <s v="[63]" u="1"/>
        <s v="[125]" u="1"/>
        <s v="SAND [78]" u="1"/>
        <s v="[347]" u="1"/>
        <s v="[408]" u="1"/>
        <s v="[472]" u="1"/>
        <s v="[482]" u="1"/>
        <s v="WHITE" u="1"/>
        <s v="[478]" u="1"/>
        <s v="[488]" u="1"/>
        <s v="[498]" u="1"/>
        <s v="MILK" u="1"/>
        <s v="SANGRIA" u="1"/>
        <s v="[54]" u="1"/>
        <s v="[130]" u="1"/>
        <s v="[221]" u="1"/>
        <s v="[241]" u="1"/>
        <s v="[227]" u="1"/>
        <s v="LIGHT GREY" u="1"/>
        <s v="BLACK [60]" u="1"/>
        <s v="[473]" u="1"/>
        <s v="[483]" u="1"/>
        <s v="[479]" u="1"/>
        <s v="[489]" u="1"/>
        <s v="[499]" u="1"/>
      </sharedItems>
    </cacheField>
    <cacheField name="Decription" numFmtId="164">
      <sharedItems containsBlank="1" count="165">
        <s v="POCHETTE INTÉRIEURE FERMETURE ÉCLAIR O BAG EN TISSU CANVAS"/>
        <m u="1"/>
        <s v="MÉCANISME GREAT DATE SATIN" u="1"/>
        <s v="POCHETTE INTÉRIEURE FERMETURE ÉCLAIR O MOON EN TISSU FANTAISIE COQUELICOTS SUR RAYURES" u="1"/>
        <s v="BANDOULIÈRE COURTE NEW GOUTTE TROUÉE EN TISSU NYC LOSANGES" u="1"/>
        <s v="ANSES COURTES CHAÎNE AVEC TRESSAGE EN FAUX CUIR" u="1"/>
        <s v="REVERS O BAG EN TISSU FLOWER BRODERIE ANGLAISE MÉTALLISÉE" u="1"/>
        <s v="POCHETTE INTÉRIEURE À COULISSE O BAG MINI EN NYLON COULEUR UNIE" u="1"/>
        <s v="ACCESSOIRES CHARMS POMPON EN FAUX CUIR PLEX + CLOUS" u="1"/>
        <s v="POCHETTE INTÉRIEURE FERMETURE ÉCLAIR O MOON LIGHT EN TISSU CORDURA" u="1"/>
        <s v="O CLOCK MÉCANISME NYC FLOWER" u="1"/>
        <s v="BANDOULIÈRE 80/120 + GOUTTE TROUÉE TISSU RUBAN MARINA BICOLORE" u="1"/>
        <s v="RABAT TOURNIQUET O POCKET EN MICRO TISSU LUXURY CÔTELÉ" u="1"/>
        <s v="POCHETTE INTÉRIEURE FERMETURE ÉCLAIR O BAG MINI EN COTON MOTIF PAPILLONS" u="1"/>
        <s v="POCHETTE INTÉRIEURE FERMETURE ÉCLAIR O CITY EN TOILE NYLON + RUBAN LIVRE BICOLORE" u="1"/>
        <s v="CORPS O BAG EVA COMPOUND" u="1"/>
        <s v="LONGUE BANDOULIÈRE AVEC BOUCLE O MOON EN FAUX CUIR" u="1"/>
        <s v="POCHETTE INTÉRIEURE FERMETURE ÉCLAIR O BAG EN TISSU DEAUVILLE À RAYURES NUANCÉES" u="1"/>
        <s v="BANDOULIÈRE 80/120 + CLIP EN TISSU RUBAN NEW YORK À CHEVRONS" u="1"/>
        <s v="CORPS O POCKET MICRO EVA COMPOUND" u="1"/>
        <s v="CORPS O SWING EVA COMPOUND EFFET OSIER" u="1"/>
        <s v="POCHETTE INTÉRIEURE FERMETURE ÉCLAIR O BAG MINI EN TISSU NYC LOSANGES" u="1"/>
        <s v="CORPS COMPLET O BAG TOTE EN TISSU DEAUVILLE À RAYURES EFFET FLAMMÉ" u="1"/>
        <s v="ACCESSOIRE CLIP EN FAUX CUIR OPAQUE + ARGENT" u="1"/>
        <s v="MICRO-ANSES TUBULAIRES COURTES EN FAUX CUIR LISSE" u="1"/>
        <s v="POCHETTE INTÉRIEURE FERMETURE ÉCLAIR O CITY EN NYLON À RAYURES" u="1"/>
        <s v="O CLOCK MÉCANISME URBAN DECOR PETALS" u="1"/>
        <s v="RABAT AVEC BANDEAU O POCKET EN FAUX CUIR RUBAN LIVRE BICOLORE" u="1"/>
        <s v="O HUG INTÉRIEUR PORTEFEUILLE FEMME EN FAUX CUIR AVEC BRISÉ" u="1"/>
        <s v="RABAT AVEC BANDEAU O POCKET EN FAUX CUIR BASIC + FLEURS PVC" u="1"/>
        <s v="RABAT TOURNIQUET O POCKET EN MICRO TISSU MÉTALLISÉ FLOWER BRODERIE ANGLAISE" u="1"/>
        <s v="POCHETTE INTÉRIEURE FERMETURE ÉCLAIR O CITY EN TISSU DEAUVILLE À RAYURES LARGES" u="1"/>
        <s v="POCHETTE INTÉRIEURE FERMETURE ÉCLAIR O MOON EN TISSU DEAUVILLE À RAYURES LARGES" u="1"/>
        <s v="O CLOCK SHIFT BRACELET BAND EN MATÉRIAU INJECTÉ" u="1"/>
        <s v="O CLOCK MÉCANISME URBAN DECOR FLOWERS" u="1"/>
        <s v="RABAT TOURNIQUET O CITY EN FAUX CUIR BASIC" u="1"/>
        <s v="CORPS O MOON EVA COMPOUND TEXTURE URBAN FRAME" u="1"/>
        <s v="RABAT TOURNIQUET O POCKET EN MICRO TISSU NYC FANTAISIE GÉOMÉTRIQUE" u="1"/>
        <s v="POCHETTE INTÉRIEURE À COULISSE O SWING EN TISSU MÉTALLISÉ FLOWER BRODERIE ANGLAISE" u="1"/>
        <s v="POCHETTE INTÉRIEURE FERMETURE ÉCLAIR O BAG MINI EN TISSU CANVAS + RUBAN" u="1"/>
        <s v="ANSES SPORTY + BRETELLE O SQUARE TISSU RUBAN YACHT" u="1"/>
        <s v="RABAT O POCKET EN TISSU NYC FANTAISIE GÉOMÉTRIQUE" u="1"/>
        <s v="POCHETTE INTÉRIEURE FERMETURE ÉCLAIR O BAG EN TISSU BOUCLÉ DÉCOR" u="1"/>
        <s v="POCHETTE INTÉRIEURE À COULISSE O SWING EN TISSU DEAUVILLE À RAYURES EFFET FLAMMÉ" u="1"/>
        <s v="POCHETTE INTÉRIEURE FERMETURE ÉCLAIR O BAG BEACH MINI EN TISSU NYC À RAYURES BICOLORE" u="1"/>
        <s v="BANDOULIÈRE 80/120 + CLIP EN TISSU RUBAN NEW YORK" u="1"/>
        <s v="POCHETTE INTÉRIEURE FERMETURE ÉCLAIR O BAG MINI EN TISSU CANVAS" u="1"/>
        <s v="POCHETTE INTÉRIEURE FERMETURE ÉCLAIR O BAG EN TISSU NYC LOSANGES" u="1"/>
        <s v="RABAT TOURNIQUET O POCKET EN TISSU + FAUX CUIR NYC À RAYURES" u="1"/>
        <s v="LONGUE BANDOULIÈRE CHAÎNE AVEC BANDEAU O POCKET EN FAUX CUIR MÉTALLISÉ" u="1"/>
        <s v="REVERS O BAG EN TISSU DEAUVILLE À RAYURES NUANCÉES" u="1"/>
        <s v="CORPS COMPLET O BAG TOTE EN NYLON À RAYURES" u="1"/>
        <s v="CORPS COMPLET O BAG TOTE EN TISSU DEAUVILLE À RAYURES NUANCÉES" u="1"/>
        <s v="MÉCANISME GREAT NYC LATITUD" u="1"/>
        <s v="POCHETTE INTÉRIEURE FERMETURE ÉCLAIR O MOON LIGHT EN COTON MOTIF PAPILLONS" u="1"/>
        <s v="RABAT O POCKET EN TISSU DEAUVILLE À RAYURES LARGES" u="1"/>
        <s v="POCHETTE INTÉRIEURE FERMETURE ÉCLAIR O MOON EN TISSU NYC À RAYURES BICOLORE" u="1"/>
        <s v="ACCESSOIRES POCHETTE FILET EN FAUX CUIR BASIC" u="1"/>
        <s v="REVERS O BAG EN TISSU NYC FANTAISIE GÉOMÉTRIQUE" u="1"/>
        <s v="POCHETTE INTÉRIEURE FERMETURE ÉCLAIR O BAG MINI EN TISSU BOUCLÉ DÉCOR" u="1"/>
        <s v="REVERS O BAG MINI EN TISSU DEAUVILLE À RAYURES SERRÉES" u="1"/>
        <s v="POCHETTE INTÉRIEURE À COULISSE O SWING EN TISSU DEAUVILLE À RAYURES NUANCÉES" u="1"/>
        <s v="CORPS O BAG EVA COMPOUND + CLOUS PYRAMIDES" u="1"/>
        <s v="CORPS O BAG BEACH MINI EVA COMPOUND EFFET OSIER" u="1"/>
        <s v="POCHETTE INTÉRIEURE À COULISSE O SWING EN TISSU DENIM" u="1"/>
        <s v="POCHETTE INTÉRIEURE FERMETURE ÉCLAIR O BAG 50 EN TISSU FANTAISIE COQUELICOTS SUR RAYURES" u="1"/>
        <s v="POCHETTE INTÉRIEURE FERMETURE ÉCLAIR O BAG MINI EN TISSU FANTAISIE COQUELICOTS SUR RAYUR" u="1"/>
        <s v="CORPS INFÉRIEUR O POCKET EVA COMPOUND" u="1"/>
        <s v="POCHETTE INTÉRIEURE FERMETURE ÉCLAIR O BAG MINI EN TOILE NYLON + RUBAN LIVRE BICOLORE" u="1"/>
        <s v="POCHETTE INTÉRIEURE FERMETURE ÉCLAIR O BAG BEACH MINI EN TISSU CORDURA" u="1"/>
        <s v="POCHETTE INTÉRIEURE FERMETURE ÉCLAIR O CITY EN TISSU CANVAS + RUBAN" u="1"/>
        <s v="POCHETTE INTÉRIEURE FERMETURE ÉCLAIR O CITY EN TISSU CANVAS" u="1"/>
        <s v="POCHETTE INTÉRIEURE FERMETURE ÉCLAIR O MOON EN TISSU CANVAS" u="1"/>
        <s v="O CLOCK MÉCANISME DEAUVILLE LINES" u="1"/>
        <s v="POCHETTE INTÉRIEURE FERMETURE ÉCLAIR O BAG BEACH MINI EN TISSU CANVAS + RUBAN" u="1"/>
        <s v="O HUG INTÉRIEUR PORTEFEUILLE FEMME EN FAUX CUIR À RAYURES" u="1"/>
        <s v="O CLOCK MÉCANISME NYC JUNGLE" u="1"/>
        <s v="BANDOULIÈRE /BRETELLE SLIM 140 EN PVC" u="1"/>
        <s v="REVERS O BAG MINI EN TISSU MÉTALLISÉ FLOWER BRODERIE ANGLAISE" u="1"/>
        <s v="POCHETTE INTÉRIEURE FERMETURE ÉCLAIR O BAG BEACH MINI EN TISSU DEAUVILLE À RAYURES NUANC" u="1"/>
        <s v="CORPS COMPLET O BAG TOTE EN NYLON + PVC" u="1"/>
        <s v="O HUG INTÉRIEUR PORTEFEUILLE FEMME EN FAUX CUIR + FANTAISIE À FLEURS SUR RAYURES" u="1"/>
        <s v="POCHETTE INTÉRIEURE FERMETURE ÉCLAIR O MOON LIGHT EN TISSU DEAUVILLE À RAYURES SERRÉES" u="1"/>
        <s v="REVERS O BAG MINI EN TISSU DEAUVILLE À RAYURES EFFET FLAMMÉ" u="1"/>
        <s v="RABAT TOURNIQUET O POCKET EN MICRO EN FAUX CUIR MÉTALLISÉ + FLEURS PVC OPAQUE" u="1"/>
        <s v="POCHETTE INTÉRIEURE FERMETURE ÉCLAIR O CITY EN TISSU BOUCLÉ DÉCOR" u="1"/>
        <s v="POCHETTE INTÉRIEURE FERMETURE ÉCLAIR O MOON EN TISSU BOUCLÉ DÉCOR" u="1"/>
        <s v="CORPS O CITY EVA COMPOUND" u="1"/>
        <s v="CORPS O MOON EVA COMPOUND" u="1"/>
        <s v="BANDEAU BRACELET FOULARD TISSU LUXURY STRIPES" u="1"/>
        <s v="BANDOULIÈRE 80/120 + GOUTTE TROUÉE TISSU RUBAN METAL DECOR" u="1"/>
        <s v="RABAT AVEC BANDEAU O POCKET TISSU CANVAS DÉTAIL RUBAN À RAYURES" u="1"/>
        <s v="ANSES COURTES EXTRASLIM GOUTTE AVEC DEMI-ANNEAU EN FAUX CUIR" u="1"/>
        <s v="POCHETTE INTÉRIEURE FERMETURE ÉCLAIR O MOON LIGHT EN TISSU BOUCLÉ DÉCOR" u="1"/>
        <s v="POCHETTE INTÉRIEURE FERMETURE ÉCLAIR O CITY EN TISSU CANVAS DÉTAIL RUBAN À RAYURES" u="1"/>
        <s v="BANDOULIÈRE /BRETELLE SLIM 140 EN FAUX CUIR BASIC" u="1"/>
        <s v="CORPS O MOON LIGHT EVA COMPOUND" u="1"/>
        <s v="BANDOULIÈRE AVEC TRESSAGE + CLIP EN FAUX CUIR BASIC" u="1"/>
        <s v="POCHETTE INTÉRIEURE À COULISSE O BAG MINI EN NYLON À RAYURES" u="1"/>
        <s v="BANDOULIÈRE COURTE NEW GOUTTE TROUÉE EN FAUX CUIR CLOUS ÉMAILLÉS" u="1"/>
        <s v="CORPS COMPLET O BAG TOTE EN FAUX CUIR SOFT TOUCH" u="1"/>
        <s v="POCHETTE INTÉRIEURE FERMETURE ÉCLAIR O MOON EN TISSU CORDURA" u="1"/>
        <s v="REVERS O BAG EN TISSU NYC VICHY" u="1"/>
        <s v="POCHETTE INTÉRIEURE FERMETURE ÉCLAIR O CITY EN TISSU NYC VICHY" u="1"/>
        <s v="ANSES COURTES EN FAUX CUIR CLOUS ÉMAILLÉS" u="1"/>
        <s v="RABAT O POCKET EN FAUX CUIR CLOUS ÉMAILLÉS" u="1"/>
        <s v="RABAT O POCKET EN TISSU MÉTALLISÉ FLOWER BRODERIE ANGLAISE" u="1"/>
        <s v="RABAT O POCKET EN NYLON À RAYURES + PVC" u="1"/>
        <s v="REVERS O BAG EN TISSU BOUCLÉ DÉCOR" u="1"/>
        <s v="BANDEAU BRACELET FOULARD TISSU LUXURY DRIPPING" u="1"/>
        <s v="POCHETTE INTÉRIEURE FERMETURE ÉCLAIR O BAG MINI EN TISSU DEAUVILLE À RAYURES LARGES" u="1"/>
        <s v="RABAT O POCKET EN TISSU LUXURY DRIPPING" u="1"/>
        <s v="POCHETTE INTÉRIEURE FERMETURE ÉCLAIR O BAG EN TISSU DEAUVILLE À RAYURES SERRÉES" u="1"/>
        <s v="POCHETTE INTÉRIEURE À COULISSE O BAG BEACH MINI EN TISSU NYC À RAYURES BICOLORE" u="1"/>
        <s v="POCHETTE INTÉRIEURE FERMETURE ÉCLAIR O BAG EN TOILE NYLON + RUBAN LIVRE BICOLORE" u="1"/>
        <s v="POCHETTE INTÉRIEURE FERMETURE ÉCLAIR O BAG MINI EN TISSU NYC À RAYURES BICOLORE" u="1"/>
        <s v="RABAT TOURNIQUET O POCKET EN TISSU NYC VICHY" u="1"/>
        <s v="O CLOCK SHIFT CASE CLASSIC SLIM EN PLASTIQUE" u="1"/>
        <s v="CORPS O BAG MINI EVA COMPOUND" u="1"/>
        <s v="ANSES COURTES EN CORDE TRICOLORE" u="1"/>
        <s v="ANSES LONGUES EN CORDE TRICOLORE" u="1"/>
        <s v="CORPS COMPLET O BAG TOTE EN NYLON COULEUR UNIE" u="1"/>
        <s v="RABAT AVEC BANDEAU O POCKET TISSU DENIM" u="1"/>
        <s v="ACCESSOIRES PENDENTIF POMPON EN RAPHIA TISSÉ" u="1"/>
        <s v="ANSES + BRETELLE COURTE GOUTTE O SQUARE EN TISSU CAOUTCHOUTÉ RUBAN À RAYURES TECHNIQU" u="1"/>
        <s v="POCHETTE INTÉRIEURE À COULISSE O SWING EN TISSU CANVAS" u="1"/>
        <s v="REVERS O BAG EN TISSU DEAUVILLE À RAYURES EFFET FLAMMÉ" u="1"/>
        <s v="POCHETTE INTÉRIEURE FERMETURE ÉCLAIR O BAG EN TISSU FANTAISIE COQUELICOTS SUR RAYURES" u="1"/>
        <s v="REVERS O BAG MINI EN TISSU NYC VICHY" u="1"/>
        <s v="O CLOCK MÉCANISME NYC LINES" u="1"/>
        <s v="POCHETTE INTÉRIEURE FERMETURE ÉCLAIR O BAG EN TISSU NYC À RAYURES BICOLORE" u="1"/>
        <s v="ANSES LONGUES ADAPTABLES GOUTTE EN CORDE + GOUTTE TISSU CAOUTCHOUTÉ" u="1"/>
        <s v="ANSES LONGUES ADAPTABLES EN FAUX CUIR BASIC" u="1"/>
        <s v="REVERS O BAG EN TISSU DEAUVILLE À RAYURES LARGES" u="1"/>
        <s v="POCHETTE INTÉRIEURE FERMETURE ÉCLAIR O SQUARE EN TISSU CORDURA" u="1"/>
        <s v="REVERS O BAG MINI EN TISSU BOUCLÉ DÉCOR" u="1"/>
        <s v="BANDOULIÈRE 80 + GOUTTE TROUÉE EN FAUX CUIR + TISSU DEAUVILLE À RAYURES EFFET FLAMMÉ" u="1"/>
        <s v="ANSES SPORTY + BRETELLE O SQUARE TISSU RUBAN MARINA BICOLORE" u="1"/>
        <s v="RABAT O POCKET EN COTON MOTIF PAPILLONS" u="1"/>
        <s v="BANDOULIÈRE 80/120 + GOUTTE TROUÉE TISSU RUBAN TECHNIQUE" u="1"/>
        <s v="BANDOULIÈRE COURTE NEW GOUTTE TROUÉE (80 CM) EN FAUX CUIR BASIC + FLEURS PVC" u="1"/>
        <s v="ACCESSOIRES CHARMS POMPON EN FAUX CUIR SUÈDE" u="1"/>
        <s v="RABAT O POCKET EN TISSU LUXURY STRIPES" u="1"/>
        <s v="RABAT TOURNIQUET O POCKET EN MICRO TISSU LUXURY DRIPPING" u="1"/>
        <s v="MÉCANISME GREAT DATE NYC TIMES SQUARE" u="1"/>
        <s v="ACCESSOIRE CLIP EN FAUX CUIR OPAQUE + OR" u="1"/>
        <s v="BANDEAU BRACELET FOULARD TISSU LUXURY CÔTELÉ" u="1"/>
        <s v="O CLOCK MÉCANISME URBAN DECOR MEADOWS" u="1"/>
        <s v="REVERS O BAG MINI EN TISSU NYC FANTAISIE GÉOMÉTRIQUE" u="1"/>
        <s v="RABAT TOURNIQUET O POCKET EN MICRO TISSU LUXURY STRIPES" u="1"/>
        <s v="CORPS O BAG 50 EVA COMPOUND" u="1"/>
        <s v="CORPS O SQUARE EVA COMPOUND" u="1"/>
        <s v="CORPS O BAG 50 EVA COMPOUND AVEC APPLICATIONS FLEURS" u="1"/>
        <s v="POCHETTE INTÉRIEURE FERMETURE ÉCLAIR O BAG EN TISSU CANVAS + RUBAN" u="1"/>
        <s v="MÉCANISME GREAT URBAN DECOR DIAMONDS" u="1"/>
        <s v="O HUG CORPS PORTEFEUILLE FEMME EVA COMPOUND TEXTURE GRECQUE" u="1"/>
        <s v="POCHETTE INTÉRIEURE FERMETURE ÉCLAIR O BAG 50 EN TISSU CANVAS" u="1"/>
        <s v="POCHETTE INTÉRIEURE FERMETURE ÉCLAIR O BAG MINI EN TISSU DEAUVILLE À RAYURES NUANCÉES" u="1"/>
        <s v="ANSES TUBULAIRES EN FAUX CUIR" u="1"/>
        <s v="POCHETTE INTÉRIEURE FERMETURE ÉCLAIR O MOON LIGHT EN TISSU NYC À RAYURES BICOLORE" u="1"/>
        <s v="O CLOCK MÉCANISME DEAUVILLE LINES + FLOWERS" u="1"/>
        <s v="BANDOULIÈRE COURTE NEW GOUTTE TROUÉE EN FAUX CUIR CLOUS PYRAMIDES" u="1"/>
        <s v="RABAT O POCKET EN TISSU LUXURY CÔTELÉ" u="1"/>
        <s v="POCHETTE INTÉRIEURE FERMETURE ÉCLAIR O MOON LIGHT EN TISSU NYC VICHY" u="1"/>
        <s v="CORPS O BAG MINI EVA COMPOUND TEXTURE À CHEVRONS" u="1"/>
      </sharedItems>
    </cacheField>
    <cacheField name="Qté" numFmtId="0">
      <sharedItems containsSemiMixedTypes="0" containsString="0" containsNumber="1" containsInteger="1" minValue="3" maxValue="3"/>
    </cacheField>
    <cacheField name="Prix U" numFmtId="0">
      <sharedItems/>
    </cacheField>
    <cacheField name="Prix T" numFmtId="0">
      <sharedItems/>
    </cacheField>
    <cacheField name="Prix T2" numFmtId="0">
      <sharedItems containsSemiMixedTypes="0" containsString="0" containsNumber="1" minValue="23.4" maxValue="23.4"/>
    </cacheField>
    <cacheField name="Chec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ean Lestang" refreshedDate="43131.946965856485" createdVersion="4" refreshedVersion="4" minRefreshableVersion="3" recordCount="454">
  <cacheSource type="worksheet">
    <worksheetSource ref="D6:J10000" sheet="Codes Barre"/>
  </cacheSource>
  <cacheFields count="7">
    <cacheField name="Code complet" numFmtId="0">
      <sharedItems containsBlank="1" count="446">
        <s v="OBAGS001 TES01 026"/>
        <s v="HLESMD00 ECS46 076"/>
        <s v="OBAGB024 EVS00 347"/>
        <s v="SHOUGH00 TESI3 470"/>
        <s v="SHOUWA00 ECS51 422"/>
        <s v="OBAGS010 TES01 347"/>
        <s v="OBAGPA06 TESF1 422"/>
        <s v="SHOUCF00 ECS35 008"/>
        <s v="ACCEC002 ECS65 036"/>
        <s v="HLESD000 ECS35 026"/>
        <s v="SHOUBG00 ECS35 479"/>
        <s v="OBAGS010 TESF8 481"/>
        <s v="OBAGS010 TES01 026"/>
        <s v="OCLKD001 MES81 017"/>
        <s v="OHUGI002 ECS70 026"/>
        <s v="OBAGS121 TESG8 061"/>
        <s v="OCLKD001 MES84 075"/>
        <s v="OCLKD001 MES84 130"/>
        <s v="OBAGPA10 ECS35 076"/>
        <s v="ACCEP014 ECS35 371"/>
        <s v="SHOUG617 ECS00 055"/>
        <s v="OBAGB001 EVS00 076"/>
        <s v="OBAGB009 EVS00 158"/>
        <s v="OBAGB010 EVS00 158"/>
        <s v="OBAGB206 EVS00 078"/>
        <s v="OBAGB206 EVS00 133"/>
        <s v="OBAGB016 EVS00 158"/>
        <s v="OBAGB002 EVS00 075"/>
        <s v="OBAGB002 EVS00 422"/>
        <s v="OBAGS121 TES01 055"/>
        <s v="OBAGB010 EVS00 422"/>
        <s v="OBAGB021 EVS03 026"/>
        <s v="OBAGB001 EVS00 347"/>
        <s v="OBAGB002 EVS00 483"/>
        <s v="OBAGB001 EVS00 486"/>
        <s v="OBAGB001 EVS00 479"/>
        <s v="OCLKE013 MAS00 036"/>
        <s v="ACCEF001 TESF4 473"/>
        <s v="SHOUGG00 TESI1 227"/>
        <s v="ACCEC002 ECS03 371"/>
        <s v="SHOUCF00 ECS35 076"/>
        <s v="OBAGB426 MAS09 055"/>
        <s v="ACCEC002 ECS03 089"/>
        <s v="HLESZ817 TESI4 241"/>
        <s v="OBAGS001 TES01 075"/>
        <s v="OBAGB024 EVS00 076"/>
        <s v="SHOUGH00 TESI3 471"/>
        <s v="SHOUWA00 ECS51 076"/>
        <s v="ACCEC002 ECS65 422"/>
        <s v="OBAGS002 TESG2 076"/>
        <s v="OBAGS010 TESG2 017"/>
        <s v="OBAGS018 TESG2 076"/>
        <s v="OBAGB021 EVS03 479"/>
        <s v="OBAGS009 TES01 075"/>
        <s v="OBAGS016 TES01 075"/>
        <s v="HLESAE00 ECS00 479"/>
        <s v="SHOUBG00 ECS35 055"/>
        <s v="OBAGA000 ECS40 483"/>
        <s v="OBAGB206 EVS00 055"/>
        <s v="OBAGB206 EVS00 371"/>
        <s v="OBAGB010 EVS00 075"/>
        <s v="OHUGB002 EVS06 075"/>
        <s v="OBAGB019 EVS00 158"/>
        <s v="OBAGB017 EVS00 158"/>
        <s v="OBAGB021 EVS03 055"/>
        <s v="OBAGB018 EVS03 371"/>
        <s v="OBAGB018 EVS03 017"/>
        <s v="OBAGB009 EVS00 347"/>
        <s v="OBAGB017 EVS00 026"/>
        <s v="OBAGB019 EVS00 371"/>
        <s v="OCLKE013 MAS00 060"/>
        <s v="OCLKSB01 INS00 036"/>
        <s v="HLESD000 ECS35 055"/>
        <s v="OBAGS017 TESE3 227"/>
        <s v="OBAGT002 TESG3 480"/>
        <s v="ACCEP014 ECS35 055"/>
        <s v="OBAGS002 TESH2 036"/>
        <s v="OBAGS010 TESF8 480"/>
        <s v="OBAGPA06 TESE3 227"/>
        <s v="OBAGS001 TESG3 480"/>
        <s v="OBAGT001 TESE3 227"/>
        <s v="OBAGT002 TESH1 008"/>
        <s v="OBAGS002 TESH1 008"/>
        <s v="OBAGS010 TESG5 476"/>
        <s v="OBAGS018 TESF9 254"/>
        <s v="OBAGS121 TESF9 254"/>
        <s v="SHOUBG00 ECS35 075"/>
        <s v="OBAGB426 TESG6 408"/>
        <s v="OBAGS118 TESE6 076"/>
        <s v="OBAGT002 TESE3 227"/>
        <s v="ACCEO001 TES23 009"/>
        <s v="HLESD200 ROS05 489"/>
        <s v="OBAGS016 TES01 076"/>
        <s v="SHOUGH00 TESI7 482"/>
        <s v="SHOUWA00 ECS55 075"/>
        <s v="SHOUWA00 ECS66 475"/>
        <s v="OBAGB001 EVS00 483"/>
        <s v="OBAGT002 TESG3 481"/>
        <s v="OBAGS001 TES01 422"/>
        <s v="OBAGS002 TES01 347"/>
        <s v="OBAGS002 TESE6 036"/>
        <s v="OBAGS002 TESE6 055"/>
        <s v="HLESD200 ROS05 008"/>
        <s v="HLESD200 ROS05 017"/>
        <s v="OBAGS002 TES01 130"/>
        <s v="OBAGB002 EVS00 486"/>
        <s v="OBAGB024 EVS00 371"/>
        <s v="OBAGB002 EVS18 347"/>
        <s v="OBAGB024 EVS00 422"/>
        <s v="HLESAD00 ECS00 036"/>
        <s v="OBAGS016 TES26 008"/>
        <s v="OBAGPA06 TESF1 055"/>
        <s v="OBAGPA24 TESE8 227"/>
        <s v="OBAGA000 ECS42 036"/>
        <s v="OBAGA000 ECS42 422"/>
        <s v="OCLKD001 MES86 055"/>
        <s v="OCLKD104 MES90 008"/>
        <s v="OCLKD104 MES92 497"/>
        <s v="OBAGS001 TESG2 076"/>
        <s v="OBAGS009 TES01 026"/>
        <s v="OBAGS010 TESG2 076"/>
        <s v="ACCEO001 TES23 076"/>
        <s v="OCLKD001 MES81 026"/>
        <s v="OBAGB016 EVS19 483"/>
        <s v="OBAGP006 ECS54 215"/>
        <s v="OCLKD001 MES82 130"/>
        <s v="OBAGS009 TES01 422"/>
        <s v="OBAGB002 EVS00 485"/>
        <s v="OBAGB001 EVS00 071"/>
        <s v="OBAGB002 EVS00 071"/>
        <s v="OBAGB001 EVS00 017"/>
        <s v="OBAGB016 EVS00 071"/>
        <s v="OBAGS016 TES26 078"/>
        <s v="OBAGB001 EVS00 158"/>
        <s v="OBAGB002 EVS00 076"/>
        <s v="OBAGB009 EVS00 076"/>
        <s v="OBAGB010 EVS00 076"/>
        <s v="OBAGB019 EVS00 055"/>
        <s v="OBAGB019 EVS00 078"/>
        <s v="OBAGB206 EVS00 075"/>
        <s v="HLESMD00 ECS46 221"/>
        <s v="OBAGB010 EVS00 371"/>
        <s v="OBAGB016 EVS00 371"/>
        <s v="OBAGB017 EVS00 075"/>
        <s v="OBAGS002 TESG2 130"/>
        <s v="OBAGS016 TESH1 008"/>
        <s v="OBAGB206 EVS00 479"/>
        <s v="OBAGS016 TESF8 480"/>
        <s v="SHOUC106 ECS16 483"/>
        <s v="ACCEC002 ECS03 036"/>
        <s v="ACCEC002 ECS03 133"/>
        <s v="HLESAE00 ECS00 075"/>
        <s v="OBAGS018 TESG2 130"/>
        <s v="OBAGS001 TES01 076"/>
        <s v="OBAGS121 TES13 017"/>
        <s v="OBAGT001 TESE8 227"/>
        <s v="SHOUGH00 TESI3 472"/>
        <s v="ACCEC002 ECS65 055"/>
        <s v="OBAGP106 TESG5 476"/>
        <s v="HLESG000 ROS04 500"/>
        <s v="OBAGS002 TESE5 036"/>
        <s v="OBAGS002 TES01 422"/>
        <s v="OBAGP106 ECS55 075"/>
        <s v="SHOUWA00 ECS51 371"/>
        <s v="HLESD000 ECS35 076"/>
        <s v="HLESAD00 ECS00 371"/>
        <s v="SHOUWA00 ECS51 036"/>
        <s v="OBAGS016 TESE6 036"/>
        <s v="OBAGS018 TESG2 017"/>
        <s v="OBAGP006 TESE8 227"/>
        <s v="SHOUCF00 ECS35 422"/>
        <s v="OBAGA000 ECS42 371"/>
        <s v="OCLKD104 MES92 498"/>
        <s v="OCLKD104 MES92 499"/>
        <s v="OHUGI002 ECS36 227"/>
        <s v="OHUGB002 EVS06 347"/>
        <s v="OBAGB024 EVS00 479"/>
        <s v="HLESD000 ECS35 017"/>
        <s v="ACCEF001 TESF6 474"/>
        <s v="ACCEO001 TES23 036"/>
        <s v="OCLKD001 MES80 347"/>
        <s v="OCLKD001 MES80 484"/>
        <s v="SHOUWA00 ECS54 479"/>
        <s v="OBAGA000 ECS40 075"/>
        <s v="OHUGI002 ECS69 125"/>
        <s v="SHOUG617 ECS00 054"/>
        <s v="OBAGB017 EVS00 055"/>
        <s v="OBAGB002 EVS00 158"/>
        <s v="OBAGB206 EVS00 158"/>
        <s v="OBAGS019 TES26 055"/>
        <s v="OBAGB009 EVS00 133"/>
        <s v="OBAGB017 EVS00 071"/>
        <s v="OBAGB010 EVS00 071"/>
        <s v="SHOUA306 ECS42 055"/>
        <s v="OBAGS016 TES26 055"/>
        <s v="OBAGP106 ECS52 076"/>
        <s v="OBAGB009 EVS00 026"/>
        <s v="OBAGB016 EVS00 347"/>
        <s v="OBAGB016 EVS00 075"/>
        <s v="OBAGB009 EVS00 479"/>
        <s v="OBAGPA24 TESF4 473"/>
        <s v="HLESZ817 TESH8 055"/>
        <s v="OBAGT001 TESF7 475"/>
        <s v="ACCEC002 ECS03 479"/>
        <s v="OBAGS017 TESE6 076"/>
        <s v="ACCEC002 ECS03 422"/>
        <s v="SHOUGG00 TESI2 227"/>
        <s v="HLESAD00 ECS00 076"/>
        <s v="OBAGS002 TESG9 125"/>
        <s v="OBAGB024 EVS00 075"/>
        <s v="OBAGB017 EVS00 479"/>
        <s v="SHOUWA00 TESE5 036"/>
        <s v="OBAGS001 TESE6 055"/>
        <s v="OBAGS001 TESE6 036"/>
        <s v="OBAGS001 TES01 130"/>
        <s v="OBAGS002 TES01 075"/>
        <s v="OBAGS016 TESF8 481"/>
        <s v="OBAGB426 TESF9 009"/>
        <s v="OBAGS102 TESG6 408"/>
        <s v="SHOUCF00 ECS35 055"/>
        <s v="OCLKD001 MES87 026"/>
        <s v="OCLKD001 MES87 422"/>
        <s v="OCLKD001 MES88 347"/>
        <s v="OBAGS016 TES01 026"/>
        <s v="OBAGP006 TESF5 441"/>
        <s v="OBAGP006 TESF6 474"/>
        <s v="OBAGP006 TESF8 481"/>
        <s v="OBAGPA24 TESF6 474"/>
        <s v="OBAGA000 ECS42 479"/>
        <s v="OBAGB009 EVS15 479"/>
        <s v="OBAGP006 TESH2 072"/>
        <s v="OBAGP106 ECS55 479"/>
        <s v="OCLKD101 MES85 483"/>
        <s v="OBAGB018 EVS03 347"/>
        <s v="OBAGB002 EVS00 371"/>
        <s v="OBAGB009 EVS00 017"/>
        <s v="OBAGS002 TES01 026"/>
        <s v="OBAGB017 EVS00 017"/>
        <s v="OBAGB016 EVS00 076"/>
        <s v="OBAGB016 EVS00 078"/>
        <s v="OBAGB001 EVS00 422"/>
        <s v="OBAGB009 EVS00 422"/>
        <s v="OBAGS121 TES01 054"/>
        <s v="OBAGB018 EVS03 076"/>
        <s v="OBAGB017 EVS00 371"/>
        <s v="OBAGB017 EVS00 347"/>
        <s v="OBAGB021 EVS03 078"/>
        <s v="OBAGB001 EVS00 485"/>
        <s v="OCLKE013 MAS00 055"/>
        <s v="OCLKE013 MAS00 059"/>
        <s v="OCLKSB01 INS00 008"/>
        <s v="OCLKSB01 INS00 060"/>
        <s v="OBAGS017 TESH2 036"/>
        <s v="OBAGP006 TESF2 055"/>
        <s v="OBAGS010 TES01 076"/>
        <s v="SHOUGH00 TESI4 241"/>
        <s v="OBAGS002 TESE5 076"/>
        <s v="OBAGS001 TESE6 076"/>
        <s v="OBAGS009 TES01 076"/>
        <s v="OBAGS121 TESF7 475"/>
        <s v="OBAGT001 TESF9 254"/>
        <s v="OBAGP006 TESF4 473"/>
        <s v="OBAGP106 TES13 017"/>
        <s v="SHOUWA00 TESE5 076"/>
        <s v="OBAGS001 TESF9 254"/>
        <s v="OHUGB002 EVS06 026"/>
        <s v="HLESGC00 ECS54 215"/>
        <s v="HLESGC00 ECS54 479"/>
        <s v="OBAGT001 TESG8 061"/>
        <s v="OBAGT002 TESG8 061"/>
        <s v="OBAGT002 TESE8 227"/>
        <s v="OBAGS001 TESG3 481"/>
        <s v="OBAGB206 EVS00 026"/>
        <s v="ACCEP014 ECS35 076"/>
        <s v="OBAGB001 EVS17 055"/>
        <s v="OBAGS118 TESE6 055"/>
        <s v="OBAGS018 TESE6 036"/>
        <s v="OBAGS002 TESE7 055"/>
        <s v="HLESAD00 ECS00 017"/>
        <s v="HLESAD00 ECS00 422"/>
        <s v="HLESZ817 TESH8 076"/>
        <s v="OBAGS016 TES01 347"/>
        <s v="OBAGS017 TESE6 055"/>
        <s v="OBAGPA06 TESF1 008"/>
        <s v="SHOUCF00 ECS35 036"/>
        <s v="OCLKD001 MES86 076"/>
        <s v="OCLKD001 MES86 347"/>
        <s v="OCLKD101 MES91 487"/>
        <s v="OBAGB024 EVS00 026"/>
        <s v="OBAGS001 TESG2 017"/>
        <s v="OBAGS009 TES01 130"/>
        <s v="ACCEF001 TESF5 478"/>
        <s v="OBAGB009 EVS15 371"/>
        <s v="OBAGB426 ECS67 479"/>
        <s v="OBAGPA24 ECS53 061"/>
        <s v="SHOUWA00 ECS54 215"/>
        <s v="OBAGPA10 ECS35 479"/>
        <s v="OBAGB009 EVS00 071"/>
        <s v="OBAGB010 EVS00 055"/>
        <s v="OBAGB001 EVS00 038"/>
        <s v="OBAGB009 EVS00 075"/>
        <s v="OBAGB018 EVS03 422"/>
        <s v="OBAGB010 EVS00 026"/>
        <s v="OBAGB021 EVS03 371"/>
        <s v="OBAGB001 EVS00 026"/>
        <s v="OBAGB019 EVS00 076"/>
        <s v="OBAGB002 EVS00 479"/>
        <s v="OCLKE013 MAS00 008"/>
        <s v="OCLKE013 MAS00 063"/>
        <s v="OCLKSB01 INS00 063"/>
        <s v="OCLKSB01 INS00 422"/>
        <s v="SHOUBG00 ECS35 017"/>
        <s v="ACCEC002 ECS03 055"/>
        <s v="OBAGS009 TESG9 125"/>
        <s v="OBAGT002 TESF7 475"/>
        <s v="OBAGB016 EVS00 479"/>
        <s v="OBAGS002 TES01 076"/>
        <s v="OBAGS102 TESG7 017"/>
        <s v="HLESGC00 ECS54 075"/>
        <s v="OBAGB018 EVS03 479"/>
        <s v="OBAGB426 ECS67 072"/>
        <s v="OBAGP006 ECS54 072"/>
        <s v="OBAGS016 TESG9 125"/>
        <s v="OBAGS017 TESG3 480"/>
        <s v="OBAGT001 TESH1 008"/>
        <s v="OBAGB016 EVS19 075"/>
        <s v="OHUGI002 ECS70 479"/>
        <s v="OBAGS002 TESF8 481"/>
        <s v="OBAGB010 EVS00 479"/>
        <s v="OBAGS001 TES01 347"/>
        <s v="OBAGB002 EVS00 484"/>
        <s v="OBAGB002 EVS18 371"/>
        <s v="HLESZ817 TESH8 036"/>
        <s v="OBAGS017 TESE6 036"/>
        <s v="OBAGP106 ECS52 055"/>
        <s v="ACCEP014 ECS35 026"/>
        <s v="HLESAD00 ECS00 026"/>
        <s v="OBAGS017 TESG3 481"/>
        <s v="OBAGPA24 TESF5 441"/>
        <s v="OBAGB016 EVS19 371"/>
        <s v="OBAGB016 EVS19 479"/>
        <s v="OBAGP006 ECS54 130"/>
        <s v="OBAGS010 TES01 075"/>
        <s v="OBAGS017 TESH2 072"/>
        <s v="HLESMD00 ECS46 072"/>
        <s v="HLESAD00 ECS00 483"/>
        <s v="OCLKD001 MES82 025"/>
        <s v="OCLKD001 MES83 134"/>
        <s v="OCLKD101 MES85 075"/>
        <s v="OCLKD101 MES85 130"/>
        <s v="OBAGS009 TES01 347"/>
        <s v="OBAGS010 TES01 422"/>
        <s v="OBAGB009 EVS00 038"/>
        <s v="OBAGS017 TES26 078"/>
        <s v="OBAGB018 EVS03 055"/>
        <s v="OBAGB002 EVS00 038"/>
        <s v="OBAGB206 EVS00 017"/>
        <s v="OBAGB009 EVS00 078"/>
        <s v="HLESMD00 ECS46 055"/>
        <s v="OBAGS017 TES26 055"/>
        <s v="OBAGB021 EVS03 017"/>
        <s v="OBAGB018 EVS03 026"/>
        <s v="OBAGB016 EVS00 026"/>
        <s v="OBAGB002 EVS00 347"/>
        <s v="OCLKSB01 INS00 076"/>
        <s v="OCLKE013 MAS00 422"/>
        <s v="ACCEC002 ECS03 075"/>
        <s v="OBAGB206 EVS00 347"/>
        <s v="OBAGP006 TESH2 036"/>
        <s v="OBAGS010 TESF3 227"/>
        <s v="OBAGS018 TES26 055"/>
        <s v="HLESMD00 ECS46 017"/>
        <s v="HLESMD00 ECS46 479"/>
        <s v="OBAGS002 TESE6 076"/>
        <s v="SHOUWA00 ECS51 055"/>
        <s v="HLESAD00 ECS00 055"/>
        <s v="OBAGA000 ECS42 017"/>
        <s v="OBAGP006 TESF8 480"/>
        <s v="OBAGS001 TESE7 055"/>
        <s v="HLESX600 ECS00 055"/>
        <s v="OBAGS010 TESE7 055"/>
        <s v="ACCEC002 ECS03 076"/>
        <s v="OBAGPA24 TESG8 061"/>
        <s v="HLESGC00 ROS04 475"/>
        <s v="OBAGS001 TESE5 036"/>
        <s v="HLESD000 ECS35 036"/>
        <s v="SHOUWA00 ECS55 479"/>
        <s v="OBAGB002 EVS18 076"/>
        <s v="OBAGS016 TESE6 055"/>
        <s v="ACCEC002 ECS65 076"/>
        <s v="OBAGB002 EVS18 422"/>
        <s v="OBAGS016 TES01 422"/>
        <s v="OBAGS018 TES26 008"/>
        <s v="OBAGPA06 TESF1 036"/>
        <s v="OBAGA000 ECS42 076"/>
        <s v="ACCEP014 ECS35 017"/>
        <s v="ACCEP014 ECS35 036"/>
        <s v="OCLKD001 MES87 055"/>
        <s v="OCLKD001 MES88 076"/>
        <s v="OCLKD104 MES90 055"/>
        <s v="HLESZ817 TESI5 488"/>
        <s v="OBAGS002 TESG2 017"/>
        <s v="OBAGPA10 ECS35 017"/>
        <s v="OBAGB009 EVS15 075"/>
        <s v="OBAGS002 TESH2 072"/>
        <s v="HLESMD00 ECS46 483"/>
        <s v="OBAGA000 ECS42 026"/>
        <s v="OBAGB001 EVS00 078"/>
        <s v="OBAGB001 EVS00 055"/>
        <s v="OBAGB002 EVS00 133"/>
        <s v="OBAGB010 EVS00 017"/>
        <s v="OBAGB010 EVS00 078"/>
        <s v="OBAGB206 EVS00 076"/>
        <s v="OBAGB001 EVS00 075"/>
        <s v="OBAGB206 EVS00 071"/>
        <s v="OBAGB019 EVS00 422"/>
        <s v="OBAGB009 EVS00 371"/>
        <s v="OBAGB002 EVS00 026"/>
        <s v="OBAGB019 EVS00 347"/>
        <s v="OBAGT001 TESF8 480"/>
        <s v="OBAGB001 EVS00 484"/>
        <s v="OBAGB426 TESG7 017"/>
        <s v="OBAGS002 TESF8 480"/>
        <s v="OBAGS010 TESE3 227"/>
        <s v="OBAGS002 TESF9 254"/>
        <s v="OBAGS016 TESE6 076"/>
        <s v="SHOUWA00 ECS54 075"/>
        <s v="OBAGB426 TESF7 475"/>
        <s v="OBAGS001 TESH1 008"/>
        <s v="OBAGS017 TESH1 008"/>
        <s v="OBAGPA06 TESF1 076"/>
        <s v="OBAGS001 TESG2 130"/>
        <s v="OBAGPA24 ECS53 072"/>
        <s v="OBAGS001 TESE5 076"/>
        <s v="ACCEC002 ECS03 026"/>
        <s v="OBAGP006 TESG8 061"/>
        <s v="OBAGS001 TESG9 125"/>
        <s v="SHOUBG00 MAS10 055"/>
        <s v="OBAGB002 EVS18 055"/>
        <s v="OBAGB024 EVS00 055"/>
        <s v="OBAGT001 TESF8 481"/>
        <s v="HLESD000 ECS35 371"/>
        <m/>
        <s v="OBAGB009 EVS00 055" u="1"/>
        <s v="OBAGS010 TESH1 008" u="1"/>
        <s v="OBAGB010 EVS00 347" u="1"/>
      </sharedItems>
    </cacheField>
    <cacheField name="Code Barre" numFmtId="1">
      <sharedItems containsBlank="1" containsMixedTypes="1" containsNumber="1" containsInteger="1" minValue="8050450212456" maxValue="8058983596418" count="354">
        <n v="8050846003620"/>
        <n v="8050846004580"/>
        <n v="8050846006294"/>
        <n v="8050846003125"/>
        <n v="8050846003088"/>
        <n v="8050846002142"/>
        <n v="8050846002432"/>
        <n v="8050846003194"/>
        <n v="8050846002722"/>
        <n v="8050846004450"/>
        <n v="8050846005648"/>
        <n v="8050846003972"/>
        <n v="8050846003927"/>
        <n v="8050846007642"/>
        <n v="8050846007406"/>
        <s v="Inconnu"/>
        <n v="8050846007680"/>
        <n v="8050846007697"/>
        <n v="8050846004597"/>
        <s v="Vide"/>
        <n v="8056099170676"/>
        <n v="8051770308508"/>
        <n v="8050450215655"/>
        <n v="8056099177927"/>
        <n v="8050450218342"/>
        <n v="8050538597949"/>
        <n v="8058983596418"/>
        <n v="8050846007291"/>
        <n v="8050846006379"/>
        <n v="8050846006584"/>
        <n v="8050846006423"/>
        <n v="8050846011434"/>
        <n v="8050846008168"/>
        <n v="8050846004344"/>
        <n v="8050846003101"/>
        <n v="8050846002753"/>
        <n v="8050846003170"/>
        <n v="8050846003026"/>
        <n v="8050846002791"/>
        <n v="8050846004894"/>
        <n v="8050846003132"/>
        <n v="8050846003071"/>
        <n v="8050846002739"/>
        <n v="8050846003798"/>
        <n v="8050846003934"/>
        <n v="8050846003903"/>
        <n v="8050846005051"/>
        <n v="8050846005075"/>
        <n v="8050846005310"/>
        <n v="8050846003248"/>
        <n v="8050846005303"/>
        <n v="8051770309703"/>
        <n v="8056099179617"/>
        <n v="8056300452195"/>
        <n v="8056095066492"/>
        <n v="8050538590711"/>
        <n v="8056099178757"/>
        <n v="8050538597833"/>
        <n v="8050846006461"/>
        <n v="8050846006478"/>
        <n v="8050846006706"/>
        <n v="8050846006850"/>
        <n v="8050846007130"/>
        <n v="8050846008151"/>
        <n v="8050846002647"/>
        <n v="8050846002340"/>
        <n v="8050846003729"/>
        <n v="8050846004962"/>
        <n v="8050846003965"/>
        <n v="8050846002395"/>
        <n v="8050846005013"/>
        <n v="8050846004917"/>
        <n v="8050846003958"/>
        <n v="8050846003866"/>
        <n v="8050846004177"/>
        <n v="8050846005655"/>
        <n v="8050846004726"/>
        <n v="8050846001961"/>
        <n v="8050846004634"/>
        <n v="8050846004528"/>
        <n v="8050846002258"/>
        <n v="8050846005594"/>
        <n v="8050846005570"/>
        <n v="8050846004740"/>
        <n v="8050846006416"/>
        <n v="8050846003736"/>
        <n v="8050846001817"/>
        <n v="8050846002012"/>
        <n v="8050846002067"/>
        <n v="8050846002043"/>
        <n v="8050846004511"/>
        <n v="8050846004504"/>
        <n v="8050846004931"/>
        <n v="8050846006591"/>
        <n v="8050846011403"/>
        <n v="8050846003330"/>
        <n v="8050846006317"/>
        <n v="8050846002616"/>
        <n v="8050846002326"/>
        <n v="8050846002425"/>
        <n v="8050846001725"/>
        <n v="8050846002548"/>
        <n v="8050846002562"/>
        <n v="8050846007758"/>
        <n v="8050846007840"/>
        <n v="8050846004009"/>
        <n v="8050846003941"/>
        <n v="8050846004641"/>
        <n v="8050846007635"/>
        <n v="8050846005181"/>
        <n v="8050846007659"/>
        <n v="8050846002234"/>
        <n v="8050846016750"/>
        <n v="8051770308652"/>
        <n v="8051770309819"/>
        <n v="8050450217574"/>
        <n v="8056098539856"/>
        <n v="8056099171529"/>
        <n v="8050450217451"/>
        <n v="8050450215624"/>
        <n v="8050538590964"/>
        <n v="8056099178559"/>
        <n v="8056099170003"/>
        <n v="8056099176784"/>
        <n v="8056300455745"/>
        <n v="8050538595563"/>
        <n v="8050846011540"/>
        <n v="8050846006881"/>
        <n v="8050846003781"/>
        <n v="8050846005099"/>
        <n v="8050846006959"/>
        <n v="8050846004030"/>
        <n v="8050846005600"/>
        <n v="8050846005433"/>
        <n v="8050846005327"/>
        <n v="8050846003897"/>
        <n v="8050846001800"/>
        <n v="8050846004191"/>
        <n v="8050846904149"/>
        <n v="8050846002746"/>
        <n v="8050846004092"/>
        <n v="8050846002128"/>
        <n v="8050846002036"/>
        <n v="8050846003095"/>
        <n v="8050846002654"/>
        <n v="8050846002623"/>
        <n v="8050846003064"/>
        <n v="8050846002296"/>
        <n v="8050846002401"/>
        <n v="8050846002579"/>
        <n v="8050846007345"/>
        <n v="8050846004368"/>
        <n v="8050846004658"/>
        <n v="8050846007611"/>
        <n v="8050846007628"/>
        <n v="8050846005549"/>
        <n v="8050846005297"/>
        <n v="8056099170621"/>
        <n v="8056098539931"/>
        <n v="8050450218243"/>
        <n v="8056099171635"/>
        <n v="8050538590056"/>
        <n v="8050450213255"/>
        <n v="8050846002319"/>
        <n v="8050846002487"/>
        <n v="8050846006720"/>
        <n v="8050846006768"/>
        <n v="8050846006805"/>
        <n v="8050846011526"/>
        <n v="8050846003521"/>
        <n v="8050846002685"/>
        <n v="8050846005426"/>
        <n v="8050846002364"/>
        <n v="8050846002777"/>
        <n v="8050846003118"/>
        <n v="8050846002593"/>
        <n v="8050846004900"/>
        <n v="8050846006355"/>
        <n v="8050846011588"/>
        <n v="8050846003033"/>
        <n v="8050846004863"/>
        <n v="8050846004948"/>
        <n v="8050846004047"/>
        <n v="8050846004702"/>
        <n v="8050846003859"/>
        <n v="8050846003156"/>
        <n v="8050846004023"/>
        <n v="8050846004115"/>
        <n v="8050846004122"/>
        <n v="8050846004153"/>
        <n v="8050846003545"/>
        <n v="8050846004313"/>
        <n v="8050846005143"/>
        <n v="8050846007727"/>
        <n v="8050846006508"/>
        <n v="8056099177125"/>
        <n v="8058983596210"/>
        <n v="8050846003767"/>
        <n v="8056099177958"/>
        <n v="8056099179785"/>
        <n v="8050538597932"/>
        <n v="8050846011571"/>
        <n v="8050846006843"/>
        <n v="8050846007260"/>
        <n v="8050846006447"/>
        <n v="8050846008137"/>
        <n v="8050846008175"/>
        <n v="8050846005112"/>
        <n v="8050846002494"/>
        <n v="8050846002159"/>
        <n v="8050846004757"/>
        <n v="8050846002111"/>
        <n v="8050846002227"/>
        <n v="8050846004160"/>
        <n v="8050846004108"/>
        <n v="8050846004139"/>
        <n v="8050846003040"/>
        <n v="8050846007376"/>
        <n v="8050846005372"/>
        <n v="8050846005389"/>
        <n v="8050846004924"/>
        <n v="8050846006942"/>
        <n v="8050846002814"/>
        <n v="8050846001954"/>
        <n v="8050846001978"/>
        <n v="8050846002104"/>
        <n v="8050846002609"/>
        <n v="8050846002708"/>
        <n v="8050846002241"/>
        <n v="8050846002357"/>
        <n v="8050846002463"/>
        <n v="8050846003187"/>
        <n v="8050846007741"/>
        <n v="8050846007734"/>
        <n v="8050846007857"/>
        <n v="8050846006324"/>
        <n v="8050846005037"/>
        <n v="8050846004351"/>
        <n v="8050846005525"/>
        <n v="8050846004832"/>
        <n v="8050846005556"/>
        <n v="8050846004603"/>
        <n v="8050450212456"/>
        <n v="8058983592427"/>
        <n v="8050846006492"/>
        <n v="8050846006652"/>
        <n v="8050846007253"/>
        <n v="8050846006393"/>
        <n v="8050846011465"/>
        <n v="8050846008113"/>
        <n v="8050846008144"/>
        <n v="8050846004771"/>
        <n v="8050846002760"/>
        <n v="8050846005044"/>
        <n v="8050846003712"/>
        <n v="8050846011557"/>
        <n v="8050846002029"/>
        <n v="8050846003842"/>
        <n v="8050846005365"/>
        <n v="8050846005501"/>
        <n v="8050846005167"/>
        <n v="8050846005082"/>
        <n v="8050846004061"/>
        <n v="8050846007390"/>
        <n v="8050846003835"/>
        <n v="8050846011496"/>
        <n v="8050846001794"/>
        <n v="8050846016736"/>
        <n v="8050846003309"/>
        <n v="8050846002692"/>
        <n v="8050846002371"/>
        <n v="8050846002470"/>
        <n v="8050846004672"/>
        <n v="8050846004443"/>
        <n v="8050846004078"/>
        <n v="8050846003538"/>
        <n v="8050846005174"/>
        <n v="8050846005457"/>
        <n v="8050846005129"/>
        <n v="8050846005402"/>
        <n v="8050846005358"/>
        <n v="8050846007666"/>
        <n v="8050846007673"/>
        <n v="8050846007710"/>
        <n v="8050846007703"/>
        <n v="8050846002210"/>
        <n v="8050846002166"/>
        <n v="8058983596241"/>
        <n v="8056099171574"/>
        <n v="8056098539450"/>
        <n v="8056300457374"/>
        <n v="8056099177231"/>
        <n v="8050538595198"/>
        <n v="8050846008281"/>
        <n v="8050538597826"/>
        <n v="8050846006515"/>
        <n v="8050846006782"/>
        <n v="8050846006546"/>
        <n v="8050846008182"/>
        <n v="8050846005419"/>
        <n v="8050846006928"/>
        <n v="8050846005136"/>
        <n v="8050846001947"/>
        <n v="8050846004573"/>
        <n v="8050846004566"/>
        <n v="8050846002050"/>
        <n v="8050846003057"/>
        <n v="8050846002586"/>
        <n v="8050846004306"/>
        <n v="8050846004146"/>
        <n v="8050846002630"/>
        <n v="8050846002203"/>
        <n v="8050846002784"/>
        <n v="8050846004825"/>
        <n v="8050846004436"/>
        <n v="8050846002678"/>
        <n v="8050846005587"/>
        <n v="8050846003323"/>
        <n v="8050846002272"/>
        <n v="8050846002715"/>
        <n v="8050846003347"/>
        <n v="8050846002265"/>
        <n v="8050846001930"/>
        <n v="8050846002456"/>
        <n v="8050846002531"/>
        <n v="8050846007833"/>
        <n v="8050846003774"/>
        <n v="8050846004610"/>
        <n v="8050846004979"/>
        <n v="8050846004320"/>
        <n v="8051770308669"/>
        <n v="8051770308638"/>
        <n v="8058983596401"/>
        <n v="8056099178863"/>
        <n v="8050450217581"/>
        <n v="8051770309673"/>
        <n v="8050846006560"/>
        <n v="8050846016552"/>
        <n v="8050846004733"/>
        <n v="8050846003828"/>
        <n v="8050846002173"/>
        <n v="8050846003804"/>
        <n v="8050846002289"/>
        <n v="8050846005532"/>
        <n v="8050846004696"/>
        <n v="8050846005105"/>
        <n v="8050846002449"/>
        <n v="8050846004849"/>
        <n v="8050846004337"/>
        <n v="8050846005150"/>
        <n v="8050846003200"/>
        <n v="8050846003316"/>
        <n v="8050846006270"/>
        <m/>
      </sharedItems>
    </cacheField>
    <cacheField name="Qté" numFmtId="0">
      <sharedItems containsString="0" containsBlank="1" containsNumber="1" containsInteger="1" minValue="1" maxValue="18"/>
    </cacheField>
    <cacheField name="void" numFmtId="0">
      <sharedItems containsNonDate="0" containsString="0" containsBlank="1"/>
    </cacheField>
    <cacheField name="Vu" numFmtId="0">
      <sharedItems containsString="0" containsBlank="1" containsNumber="1" containsInteger="1" minValue="0" maxValue="3"/>
    </cacheField>
    <cacheField name="Page" numFmtId="0">
      <sharedItems containsString="0" containsBlank="1" containsNumber="1" containsInteger="1" minValue="4" maxValue="242" count="101">
        <n v="92"/>
        <n v="34"/>
        <n v="17"/>
        <n v="51"/>
        <n v="48"/>
        <n v="108"/>
        <n v="131"/>
        <n v="53"/>
        <n v="158"/>
        <n v="20"/>
        <n v="54"/>
        <n v="111"/>
        <n v="164"/>
        <n v="240"/>
        <m/>
        <n v="166"/>
        <n v="142"/>
        <n v="160"/>
        <n v="33"/>
        <n v="4"/>
        <n v="6"/>
        <n v="7"/>
        <n v="9"/>
        <n v="10"/>
        <n v="8"/>
        <n v="36"/>
        <n v="14"/>
        <n v="198"/>
        <n v="71"/>
        <n v="50"/>
        <n v="159"/>
        <n v="151"/>
        <n v="101"/>
        <n v="110"/>
        <n v="125"/>
        <n v="106"/>
        <n v="114"/>
        <n v="35"/>
        <n v="68"/>
        <n v="11"/>
        <n v="12"/>
        <n v="13"/>
        <n v="42"/>
        <n v="118"/>
        <n v="82"/>
        <n v="104"/>
        <n v="130"/>
        <n v="95"/>
        <n v="76"/>
        <n v="83"/>
        <n v="124"/>
        <n v="121"/>
        <n v="152"/>
        <n v="123"/>
        <n v="81"/>
        <n v="52"/>
        <n v="49"/>
        <n v="99"/>
        <n v="138"/>
        <n v="67"/>
        <n v="183"/>
        <n v="184"/>
        <n v="94"/>
        <n v="136"/>
        <n v="165"/>
        <n v="5"/>
        <n v="16"/>
        <n v="25"/>
        <n v="116"/>
        <n v="115"/>
        <n v="55"/>
        <n v="122"/>
        <n v="132"/>
        <n v="100"/>
        <n v="241"/>
        <n v="72"/>
        <n v="242"/>
        <n v="38"/>
        <n v="27"/>
        <n v="139"/>
        <n v="149"/>
        <n v="77"/>
        <n v="103"/>
        <n v="93"/>
        <n v="167"/>
        <n v="133"/>
        <n v="134"/>
        <n v="135"/>
        <n v="140"/>
        <n v="15"/>
        <n v="120"/>
        <n v="78"/>
        <n v="153"/>
        <n v="141"/>
        <n v="146"/>
        <n v="102"/>
        <n v="119"/>
        <n v="79"/>
        <n v="109"/>
        <n v="37"/>
        <n v="96"/>
      </sharedItems>
    </cacheField>
    <cacheField name="Catalogue" numFmtId="0">
      <sharedItems containsBlank="1" count="5">
        <s v="Spring 2018"/>
        <m/>
        <s v="WINTER 2017 COLLECTION"/>
        <s v="Spring 2018 .continuativo"/>
        <s v="Fall 2018 continuativ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1"/>
    <x v="0"/>
    <n v="26"/>
    <x v="0"/>
    <x v="0"/>
    <n v="3"/>
    <s v="7,8"/>
    <s v="23,4"/>
    <n v="23.4"/>
    <b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54">
  <r>
    <x v="0"/>
    <x v="0"/>
    <n v="3"/>
    <m/>
    <n v="1"/>
    <x v="0"/>
    <x v="0"/>
  </r>
  <r>
    <x v="1"/>
    <x v="1"/>
    <n v="4"/>
    <m/>
    <n v="1"/>
    <x v="1"/>
    <x v="0"/>
  </r>
  <r>
    <x v="2"/>
    <x v="2"/>
    <n v="3"/>
    <m/>
    <n v="1"/>
    <x v="2"/>
    <x v="0"/>
  </r>
  <r>
    <x v="3"/>
    <x v="3"/>
    <n v="2"/>
    <m/>
    <n v="1"/>
    <x v="3"/>
    <x v="0"/>
  </r>
  <r>
    <x v="4"/>
    <x v="4"/>
    <n v="2"/>
    <m/>
    <n v="1"/>
    <x v="4"/>
    <x v="0"/>
  </r>
  <r>
    <x v="5"/>
    <x v="5"/>
    <n v="2"/>
    <m/>
    <n v="1"/>
    <x v="5"/>
    <x v="0"/>
  </r>
  <r>
    <x v="6"/>
    <x v="6"/>
    <n v="2"/>
    <m/>
    <n v="1"/>
    <x v="6"/>
    <x v="0"/>
  </r>
  <r>
    <x v="7"/>
    <x v="7"/>
    <n v="6"/>
    <m/>
    <n v="1"/>
    <x v="7"/>
    <x v="0"/>
  </r>
  <r>
    <x v="8"/>
    <x v="8"/>
    <n v="2"/>
    <m/>
    <n v="1"/>
    <x v="8"/>
    <x v="0"/>
  </r>
  <r>
    <x v="9"/>
    <x v="9"/>
    <n v="3"/>
    <m/>
    <n v="1"/>
    <x v="9"/>
    <x v="0"/>
  </r>
  <r>
    <x v="10"/>
    <x v="10"/>
    <n v="2"/>
    <m/>
    <n v="1"/>
    <x v="10"/>
    <x v="0"/>
  </r>
  <r>
    <x v="11"/>
    <x v="11"/>
    <n v="2"/>
    <m/>
    <n v="1"/>
    <x v="11"/>
    <x v="0"/>
  </r>
  <r>
    <x v="12"/>
    <x v="12"/>
    <n v="2"/>
    <m/>
    <n v="1"/>
    <x v="5"/>
    <x v="0"/>
  </r>
  <r>
    <x v="13"/>
    <x v="13"/>
    <n v="3"/>
    <m/>
    <n v="1"/>
    <x v="12"/>
    <x v="0"/>
  </r>
  <r>
    <x v="14"/>
    <x v="14"/>
    <n v="3"/>
    <m/>
    <n v="1"/>
    <x v="13"/>
    <x v="0"/>
  </r>
  <r>
    <x v="15"/>
    <x v="15"/>
    <n v="2"/>
    <m/>
    <n v="0"/>
    <x v="14"/>
    <x v="1"/>
  </r>
  <r>
    <x v="16"/>
    <x v="16"/>
    <n v="3"/>
    <m/>
    <n v="1"/>
    <x v="15"/>
    <x v="0"/>
  </r>
  <r>
    <x v="17"/>
    <x v="17"/>
    <n v="3"/>
    <m/>
    <n v="1"/>
    <x v="15"/>
    <x v="0"/>
  </r>
  <r>
    <x v="18"/>
    <x v="18"/>
    <n v="2"/>
    <m/>
    <n v="1"/>
    <x v="16"/>
    <x v="0"/>
  </r>
  <r>
    <x v="19"/>
    <x v="19"/>
    <n v="3"/>
    <m/>
    <n v="1"/>
    <x v="17"/>
    <x v="0"/>
  </r>
  <r>
    <x v="20"/>
    <x v="20"/>
    <n v="10"/>
    <m/>
    <n v="2"/>
    <x v="18"/>
    <x v="2"/>
  </r>
  <r>
    <x v="21"/>
    <x v="21"/>
    <n v="3"/>
    <m/>
    <n v="1"/>
    <x v="19"/>
    <x v="0"/>
  </r>
  <r>
    <x v="22"/>
    <x v="19"/>
    <n v="1"/>
    <m/>
    <n v="1"/>
    <x v="20"/>
    <x v="3"/>
  </r>
  <r>
    <x v="23"/>
    <x v="19"/>
    <n v="1"/>
    <m/>
    <n v="1"/>
    <x v="21"/>
    <x v="3"/>
  </r>
  <r>
    <x v="24"/>
    <x v="22"/>
    <n v="1"/>
    <m/>
    <n v="2"/>
    <x v="22"/>
    <x v="4"/>
  </r>
  <r>
    <x v="25"/>
    <x v="19"/>
    <n v="1"/>
    <m/>
    <n v="1"/>
    <x v="23"/>
    <x v="3"/>
  </r>
  <r>
    <x v="26"/>
    <x v="23"/>
    <n v="2"/>
    <m/>
    <n v="1"/>
    <x v="24"/>
    <x v="3"/>
  </r>
  <r>
    <x v="27"/>
    <x v="24"/>
    <n v="3"/>
    <m/>
    <n v="1"/>
    <x v="20"/>
    <x v="0"/>
  </r>
  <r>
    <x v="28"/>
    <x v="19"/>
    <n v="3"/>
    <m/>
    <n v="2"/>
    <x v="20"/>
    <x v="2"/>
  </r>
  <r>
    <x v="29"/>
    <x v="25"/>
    <n v="3"/>
    <m/>
    <n v="2"/>
    <x v="25"/>
    <x v="4"/>
  </r>
  <r>
    <x v="30"/>
    <x v="26"/>
    <n v="2"/>
    <m/>
    <n v="2"/>
    <x v="23"/>
    <x v="2"/>
  </r>
  <r>
    <x v="31"/>
    <x v="27"/>
    <n v="3"/>
    <m/>
    <n v="1"/>
    <x v="26"/>
    <x v="0"/>
  </r>
  <r>
    <x v="32"/>
    <x v="28"/>
    <n v="4"/>
    <m/>
    <n v="1"/>
    <x v="19"/>
    <x v="0"/>
  </r>
  <r>
    <x v="33"/>
    <x v="29"/>
    <n v="3"/>
    <m/>
    <n v="1"/>
    <x v="20"/>
    <x v="0"/>
  </r>
  <r>
    <x v="34"/>
    <x v="30"/>
    <n v="3"/>
    <m/>
    <n v="1"/>
    <x v="19"/>
    <x v="0"/>
  </r>
  <r>
    <x v="35"/>
    <x v="31"/>
    <n v="3"/>
    <m/>
    <n v="1"/>
    <x v="19"/>
    <x v="0"/>
  </r>
  <r>
    <x v="36"/>
    <x v="32"/>
    <n v="6"/>
    <m/>
    <n v="1"/>
    <x v="27"/>
    <x v="0"/>
  </r>
  <r>
    <x v="37"/>
    <x v="33"/>
    <n v="4"/>
    <m/>
    <n v="1"/>
    <x v="28"/>
    <x v="0"/>
  </r>
  <r>
    <x v="38"/>
    <x v="34"/>
    <n v="2"/>
    <m/>
    <n v="1"/>
    <x v="29"/>
    <x v="0"/>
  </r>
  <r>
    <x v="39"/>
    <x v="35"/>
    <n v="3"/>
    <m/>
    <n v="1"/>
    <x v="30"/>
    <x v="0"/>
  </r>
  <r>
    <x v="40"/>
    <x v="36"/>
    <n v="4"/>
    <m/>
    <n v="1"/>
    <x v="7"/>
    <x v="0"/>
  </r>
  <r>
    <x v="41"/>
    <x v="37"/>
    <n v="3"/>
    <m/>
    <n v="1"/>
    <x v="31"/>
    <x v="0"/>
  </r>
  <r>
    <x v="42"/>
    <x v="38"/>
    <n v="2"/>
    <m/>
    <n v="1"/>
    <x v="30"/>
    <x v="0"/>
  </r>
  <r>
    <x v="43"/>
    <x v="15"/>
    <n v="4"/>
    <m/>
    <n v="0"/>
    <x v="14"/>
    <x v="1"/>
  </r>
  <r>
    <x v="44"/>
    <x v="39"/>
    <n v="3"/>
    <m/>
    <n v="1"/>
    <x v="0"/>
    <x v="0"/>
  </r>
  <r>
    <x v="45"/>
    <x v="19"/>
    <n v="3"/>
    <m/>
    <n v="1"/>
    <x v="2"/>
    <x v="0"/>
  </r>
  <r>
    <x v="46"/>
    <x v="40"/>
    <n v="2"/>
    <m/>
    <n v="1"/>
    <x v="3"/>
    <x v="0"/>
  </r>
  <r>
    <x v="47"/>
    <x v="41"/>
    <n v="2"/>
    <m/>
    <n v="1"/>
    <x v="4"/>
    <x v="0"/>
  </r>
  <r>
    <x v="48"/>
    <x v="42"/>
    <n v="2"/>
    <m/>
    <n v="1"/>
    <x v="8"/>
    <x v="0"/>
  </r>
  <r>
    <x v="49"/>
    <x v="43"/>
    <n v="2"/>
    <m/>
    <n v="1"/>
    <x v="32"/>
    <x v="0"/>
  </r>
  <r>
    <x v="50"/>
    <x v="44"/>
    <n v="2"/>
    <m/>
    <n v="1"/>
    <x v="33"/>
    <x v="0"/>
  </r>
  <r>
    <x v="51"/>
    <x v="45"/>
    <n v="2"/>
    <m/>
    <n v="1"/>
    <x v="34"/>
    <x v="0"/>
  </r>
  <r>
    <x v="52"/>
    <x v="19"/>
    <n v="3"/>
    <m/>
    <n v="1"/>
    <x v="26"/>
    <x v="0"/>
  </r>
  <r>
    <x v="53"/>
    <x v="46"/>
    <n v="2"/>
    <m/>
    <n v="1"/>
    <x v="35"/>
    <x v="0"/>
  </r>
  <r>
    <x v="54"/>
    <x v="47"/>
    <n v="2"/>
    <m/>
    <n v="1"/>
    <x v="36"/>
    <x v="0"/>
  </r>
  <r>
    <x v="55"/>
    <x v="48"/>
    <n v="2"/>
    <m/>
    <n v="1"/>
    <x v="37"/>
    <x v="0"/>
  </r>
  <r>
    <x v="56"/>
    <x v="49"/>
    <n v="2"/>
    <m/>
    <n v="1"/>
    <x v="10"/>
    <x v="0"/>
  </r>
  <r>
    <x v="57"/>
    <x v="50"/>
    <n v="6"/>
    <m/>
    <n v="1"/>
    <x v="38"/>
    <x v="0"/>
  </r>
  <r>
    <x v="58"/>
    <x v="51"/>
    <n v="1"/>
    <m/>
    <n v="2"/>
    <x v="22"/>
    <x v="4"/>
  </r>
  <r>
    <x v="59"/>
    <x v="52"/>
    <n v="1"/>
    <m/>
    <n v="2"/>
    <x v="22"/>
    <x v="4"/>
  </r>
  <r>
    <x v="60"/>
    <x v="53"/>
    <n v="2"/>
    <m/>
    <n v="1"/>
    <x v="23"/>
    <x v="0"/>
  </r>
  <r>
    <x v="61"/>
    <x v="54"/>
    <n v="3"/>
    <m/>
    <n v="1"/>
    <x v="13"/>
    <x v="0"/>
  </r>
  <r>
    <x v="62"/>
    <x v="55"/>
    <n v="2"/>
    <m/>
    <n v="1"/>
    <x v="39"/>
    <x v="3"/>
  </r>
  <r>
    <x v="63"/>
    <x v="56"/>
    <n v="2"/>
    <m/>
    <n v="1"/>
    <x v="22"/>
    <x v="3"/>
  </r>
  <r>
    <x v="64"/>
    <x v="57"/>
    <n v="2"/>
    <m/>
    <n v="2"/>
    <x v="24"/>
    <x v="4"/>
  </r>
  <r>
    <x v="65"/>
    <x v="58"/>
    <n v="3"/>
    <m/>
    <n v="2"/>
    <x v="40"/>
    <x v="4"/>
  </r>
  <r>
    <x v="66"/>
    <x v="59"/>
    <n v="2"/>
    <m/>
    <n v="2"/>
    <x v="40"/>
    <x v="4"/>
  </r>
  <r>
    <x v="67"/>
    <x v="60"/>
    <n v="2"/>
    <m/>
    <n v="1"/>
    <x v="24"/>
    <x v="0"/>
  </r>
  <r>
    <x v="68"/>
    <x v="61"/>
    <n v="2"/>
    <m/>
    <n v="1"/>
    <x v="41"/>
    <x v="0"/>
  </r>
  <r>
    <x v="69"/>
    <x v="62"/>
    <n v="2"/>
    <m/>
    <n v="2"/>
    <x v="42"/>
    <x v="4"/>
  </r>
  <r>
    <x v="70"/>
    <x v="63"/>
    <n v="6"/>
    <m/>
    <n v="1"/>
    <x v="27"/>
    <x v="0"/>
  </r>
  <r>
    <x v="71"/>
    <x v="15"/>
    <n v="6"/>
    <m/>
    <n v="0"/>
    <x v="14"/>
    <x v="1"/>
  </r>
  <r>
    <x v="72"/>
    <x v="64"/>
    <n v="4"/>
    <m/>
    <n v="1"/>
    <x v="9"/>
    <x v="0"/>
  </r>
  <r>
    <x v="73"/>
    <x v="65"/>
    <n v="2"/>
    <m/>
    <n v="1"/>
    <x v="43"/>
    <x v="0"/>
  </r>
  <r>
    <x v="74"/>
    <x v="66"/>
    <n v="2"/>
    <m/>
    <n v="1"/>
    <x v="44"/>
    <x v="0"/>
  </r>
  <r>
    <x v="75"/>
    <x v="19"/>
    <n v="4"/>
    <m/>
    <n v="1"/>
    <x v="17"/>
    <x v="0"/>
  </r>
  <r>
    <x v="76"/>
    <x v="67"/>
    <n v="2"/>
    <m/>
    <n v="1"/>
    <x v="45"/>
    <x v="0"/>
  </r>
  <r>
    <x v="77"/>
    <x v="68"/>
    <n v="2"/>
    <m/>
    <n v="1"/>
    <x v="11"/>
    <x v="0"/>
  </r>
  <r>
    <x v="78"/>
    <x v="69"/>
    <n v="2"/>
    <m/>
    <n v="1"/>
    <x v="46"/>
    <x v="0"/>
  </r>
  <r>
    <x v="79"/>
    <x v="19"/>
    <n v="2"/>
    <m/>
    <n v="1"/>
    <x v="47"/>
    <x v="0"/>
  </r>
  <r>
    <x v="80"/>
    <x v="19"/>
    <n v="2"/>
    <m/>
    <n v="1"/>
    <x v="48"/>
    <x v="0"/>
  </r>
  <r>
    <x v="81"/>
    <x v="70"/>
    <n v="2"/>
    <m/>
    <n v="1"/>
    <x v="49"/>
    <x v="0"/>
  </r>
  <r>
    <x v="82"/>
    <x v="71"/>
    <n v="2"/>
    <m/>
    <n v="1"/>
    <x v="45"/>
    <x v="0"/>
  </r>
  <r>
    <x v="83"/>
    <x v="72"/>
    <n v="2"/>
    <m/>
    <n v="1"/>
    <x v="33"/>
    <x v="0"/>
  </r>
  <r>
    <x v="84"/>
    <x v="73"/>
    <n v="2"/>
    <m/>
    <n v="1"/>
    <x v="50"/>
    <x v="0"/>
  </r>
  <r>
    <x v="85"/>
    <x v="74"/>
    <n v="4"/>
    <m/>
    <n v="1"/>
    <x v="51"/>
    <x v="0"/>
  </r>
  <r>
    <x v="86"/>
    <x v="75"/>
    <n v="2"/>
    <m/>
    <n v="1"/>
    <x v="10"/>
    <x v="0"/>
  </r>
  <r>
    <x v="87"/>
    <x v="76"/>
    <n v="2"/>
    <m/>
    <n v="1"/>
    <x v="52"/>
    <x v="0"/>
  </r>
  <r>
    <x v="88"/>
    <x v="77"/>
    <n v="2"/>
    <m/>
    <n v="1"/>
    <x v="53"/>
    <x v="0"/>
  </r>
  <r>
    <x v="89"/>
    <x v="19"/>
    <n v="2"/>
    <m/>
    <n v="1"/>
    <x v="54"/>
    <x v="0"/>
  </r>
  <r>
    <x v="90"/>
    <x v="78"/>
    <n v="3"/>
    <m/>
    <n v="1"/>
    <x v="8"/>
    <x v="0"/>
  </r>
  <r>
    <x v="91"/>
    <x v="79"/>
    <n v="3"/>
    <m/>
    <n v="1"/>
    <x v="9"/>
    <x v="0"/>
  </r>
  <r>
    <x v="92"/>
    <x v="80"/>
    <n v="2"/>
    <m/>
    <n v="1"/>
    <x v="36"/>
    <x v="0"/>
  </r>
  <r>
    <x v="93"/>
    <x v="81"/>
    <n v="4"/>
    <m/>
    <n v="1"/>
    <x v="55"/>
    <x v="0"/>
  </r>
  <r>
    <x v="94"/>
    <x v="82"/>
    <n v="3"/>
    <m/>
    <n v="1"/>
    <x v="56"/>
    <x v="0"/>
  </r>
  <r>
    <x v="95"/>
    <x v="83"/>
    <n v="2"/>
    <m/>
    <n v="1"/>
    <x v="29"/>
    <x v="0"/>
  </r>
  <r>
    <x v="96"/>
    <x v="84"/>
    <n v="3"/>
    <m/>
    <n v="1"/>
    <x v="19"/>
    <x v="0"/>
  </r>
  <r>
    <x v="97"/>
    <x v="85"/>
    <n v="2"/>
    <m/>
    <n v="1"/>
    <x v="44"/>
    <x v="0"/>
  </r>
  <r>
    <x v="98"/>
    <x v="86"/>
    <n v="2"/>
    <m/>
    <n v="1"/>
    <x v="0"/>
    <x v="0"/>
  </r>
  <r>
    <x v="99"/>
    <x v="87"/>
    <n v="3"/>
    <m/>
    <n v="1"/>
    <x v="57"/>
    <x v="0"/>
  </r>
  <r>
    <x v="100"/>
    <x v="88"/>
    <n v="2"/>
    <m/>
    <n v="1"/>
    <x v="57"/>
    <x v="0"/>
  </r>
  <r>
    <x v="101"/>
    <x v="89"/>
    <n v="2"/>
    <m/>
    <n v="1"/>
    <x v="57"/>
    <x v="0"/>
  </r>
  <r>
    <x v="102"/>
    <x v="90"/>
    <n v="6"/>
    <m/>
    <n v="1"/>
    <x v="9"/>
    <x v="0"/>
  </r>
  <r>
    <x v="102"/>
    <x v="90"/>
    <n v="3"/>
    <m/>
    <n v="1"/>
    <x v="9"/>
    <x v="0"/>
  </r>
  <r>
    <x v="103"/>
    <x v="91"/>
    <n v="3"/>
    <m/>
    <n v="1"/>
    <x v="9"/>
    <x v="0"/>
  </r>
  <r>
    <x v="104"/>
    <x v="92"/>
    <n v="3"/>
    <m/>
    <n v="1"/>
    <x v="57"/>
    <x v="0"/>
  </r>
  <r>
    <x v="105"/>
    <x v="93"/>
    <n v="3"/>
    <m/>
    <n v="1"/>
    <x v="20"/>
    <x v="0"/>
  </r>
  <r>
    <x v="106"/>
    <x v="94"/>
    <n v="3"/>
    <m/>
    <n v="2"/>
    <x v="23"/>
    <x v="4"/>
  </r>
  <r>
    <x v="107"/>
    <x v="95"/>
    <n v="3"/>
    <m/>
    <n v="1"/>
    <x v="21"/>
    <x v="0"/>
  </r>
  <r>
    <x v="108"/>
    <x v="96"/>
    <n v="3"/>
    <m/>
    <n v="1"/>
    <x v="2"/>
    <x v="0"/>
  </r>
  <r>
    <x v="109"/>
    <x v="97"/>
    <n v="8"/>
    <m/>
    <n v="1"/>
    <x v="25"/>
    <x v="0"/>
  </r>
  <r>
    <x v="110"/>
    <x v="98"/>
    <n v="2"/>
    <m/>
    <n v="2"/>
    <x v="1"/>
    <x v="4"/>
  </r>
  <r>
    <x v="111"/>
    <x v="99"/>
    <n v="2"/>
    <m/>
    <n v="1"/>
    <x v="6"/>
    <x v="0"/>
  </r>
  <r>
    <x v="112"/>
    <x v="100"/>
    <n v="2"/>
    <m/>
    <n v="1"/>
    <x v="58"/>
    <x v="0"/>
  </r>
  <r>
    <x v="113"/>
    <x v="101"/>
    <n v="6"/>
    <m/>
    <n v="1"/>
    <x v="59"/>
    <x v="0"/>
  </r>
  <r>
    <x v="114"/>
    <x v="102"/>
    <n v="6"/>
    <m/>
    <n v="1"/>
    <x v="59"/>
    <x v="0"/>
  </r>
  <r>
    <x v="115"/>
    <x v="103"/>
    <n v="3"/>
    <m/>
    <n v="1"/>
    <x v="15"/>
    <x v="0"/>
  </r>
  <r>
    <x v="116"/>
    <x v="104"/>
    <n v="3"/>
    <m/>
    <n v="1"/>
    <x v="60"/>
    <x v="0"/>
  </r>
  <r>
    <x v="117"/>
    <x v="19"/>
    <n v="3"/>
    <m/>
    <n v="1"/>
    <x v="61"/>
    <x v="0"/>
  </r>
  <r>
    <x v="118"/>
    <x v="19"/>
    <n v="2"/>
    <m/>
    <n v="1"/>
    <x v="62"/>
    <x v="0"/>
  </r>
  <r>
    <x v="119"/>
    <x v="105"/>
    <n v="2"/>
    <m/>
    <n v="1"/>
    <x v="35"/>
    <x v="0"/>
  </r>
  <r>
    <x v="120"/>
    <x v="106"/>
    <n v="2"/>
    <m/>
    <n v="1"/>
    <x v="33"/>
    <x v="0"/>
  </r>
  <r>
    <x v="121"/>
    <x v="107"/>
    <n v="3"/>
    <m/>
    <n v="1"/>
    <x v="8"/>
    <x v="0"/>
  </r>
  <r>
    <x v="122"/>
    <x v="108"/>
    <n v="3"/>
    <m/>
    <n v="1"/>
    <x v="12"/>
    <x v="0"/>
  </r>
  <r>
    <x v="123"/>
    <x v="15"/>
    <n v="2"/>
    <m/>
    <n v="0"/>
    <x v="14"/>
    <x v="1"/>
  </r>
  <r>
    <x v="124"/>
    <x v="109"/>
    <n v="2"/>
    <m/>
    <n v="1"/>
    <x v="63"/>
    <x v="0"/>
  </r>
  <r>
    <x v="125"/>
    <x v="110"/>
    <n v="3"/>
    <m/>
    <n v="1"/>
    <x v="64"/>
    <x v="0"/>
  </r>
  <r>
    <x v="126"/>
    <x v="111"/>
    <n v="2"/>
    <m/>
    <n v="1"/>
    <x v="35"/>
    <x v="0"/>
  </r>
  <r>
    <x v="127"/>
    <x v="112"/>
    <n v="3"/>
    <m/>
    <n v="1"/>
    <x v="20"/>
    <x v="0"/>
  </r>
  <r>
    <x v="128"/>
    <x v="113"/>
    <n v="1"/>
    <m/>
    <n v="2"/>
    <x v="19"/>
    <x v="4"/>
  </r>
  <r>
    <x v="129"/>
    <x v="114"/>
    <n v="1"/>
    <m/>
    <n v="2"/>
    <x v="65"/>
    <x v="4"/>
  </r>
  <r>
    <x v="130"/>
    <x v="115"/>
    <n v="1"/>
    <m/>
    <n v="2"/>
    <x v="19"/>
    <x v="4"/>
  </r>
  <r>
    <x v="131"/>
    <x v="116"/>
    <n v="2"/>
    <m/>
    <n v="2"/>
    <x v="20"/>
    <x v="4"/>
  </r>
  <r>
    <x v="132"/>
    <x v="117"/>
    <n v="2"/>
    <m/>
    <n v="2"/>
    <x v="1"/>
    <x v="4"/>
  </r>
  <r>
    <x v="133"/>
    <x v="118"/>
    <n v="1"/>
    <m/>
    <n v="1"/>
    <x v="19"/>
    <x v="3"/>
  </r>
  <r>
    <x v="134"/>
    <x v="119"/>
    <n v="3"/>
    <m/>
    <n v="1"/>
    <x v="20"/>
    <x v="0"/>
  </r>
  <r>
    <x v="135"/>
    <x v="120"/>
    <n v="2"/>
    <m/>
    <n v="1"/>
    <x v="24"/>
    <x v="0"/>
  </r>
  <r>
    <x v="136"/>
    <x v="121"/>
    <n v="2"/>
    <m/>
    <n v="1"/>
    <x v="23"/>
    <x v="0"/>
  </r>
  <r>
    <x v="137"/>
    <x v="122"/>
    <n v="2"/>
    <m/>
    <n v="2"/>
    <x v="42"/>
    <x v="4"/>
  </r>
  <r>
    <x v="138"/>
    <x v="123"/>
    <n v="2"/>
    <m/>
    <n v="2"/>
    <x v="42"/>
    <x v="4"/>
  </r>
  <r>
    <x v="139"/>
    <x v="124"/>
    <n v="3"/>
    <m/>
    <n v="1"/>
    <x v="66"/>
    <x v="0"/>
  </r>
  <r>
    <x v="140"/>
    <x v="125"/>
    <n v="6"/>
    <m/>
    <n v="2"/>
    <x v="67"/>
    <x v="2"/>
  </r>
  <r>
    <x v="141"/>
    <x v="19"/>
    <n v="1"/>
    <m/>
    <n v="1"/>
    <x v="21"/>
    <x v="3"/>
  </r>
  <r>
    <x v="142"/>
    <x v="126"/>
    <n v="2"/>
    <m/>
    <n v="2"/>
    <x v="20"/>
    <x v="4"/>
  </r>
  <r>
    <x v="143"/>
    <x v="127"/>
    <n v="2"/>
    <m/>
    <n v="1"/>
    <x v="41"/>
    <x v="0"/>
  </r>
  <r>
    <x v="144"/>
    <x v="128"/>
    <n v="2"/>
    <m/>
    <n v="1"/>
    <x v="32"/>
    <x v="0"/>
  </r>
  <r>
    <x v="145"/>
    <x v="129"/>
    <n v="2"/>
    <m/>
    <n v="1"/>
    <x v="68"/>
    <x v="0"/>
  </r>
  <r>
    <x v="146"/>
    <x v="130"/>
    <n v="3"/>
    <m/>
    <n v="1"/>
    <x v="66"/>
    <x v="0"/>
  </r>
  <r>
    <x v="147"/>
    <x v="131"/>
    <n v="2"/>
    <m/>
    <n v="1"/>
    <x v="69"/>
    <x v="0"/>
  </r>
  <r>
    <x v="148"/>
    <x v="132"/>
    <n v="3"/>
    <m/>
    <n v="1"/>
    <x v="70"/>
    <x v="0"/>
  </r>
  <r>
    <x v="149"/>
    <x v="15"/>
    <n v="2"/>
    <m/>
    <n v="0"/>
    <x v="14"/>
    <x v="1"/>
  </r>
  <r>
    <x v="150"/>
    <x v="133"/>
    <n v="2"/>
    <m/>
    <n v="1"/>
    <x v="30"/>
    <x v="0"/>
  </r>
  <r>
    <x v="151"/>
    <x v="134"/>
    <n v="6"/>
    <m/>
    <n v="1"/>
    <x v="37"/>
    <x v="0"/>
  </r>
  <r>
    <x v="152"/>
    <x v="135"/>
    <n v="2"/>
    <m/>
    <n v="1"/>
    <x v="34"/>
    <x v="0"/>
  </r>
  <r>
    <x v="153"/>
    <x v="136"/>
    <n v="2"/>
    <m/>
    <n v="1"/>
    <x v="0"/>
    <x v="0"/>
  </r>
  <r>
    <x v="154"/>
    <x v="137"/>
    <n v="4"/>
    <m/>
    <n v="1"/>
    <x v="71"/>
    <x v="0"/>
  </r>
  <r>
    <x v="155"/>
    <x v="19"/>
    <n v="2"/>
    <m/>
    <n v="1"/>
    <x v="48"/>
    <x v="0"/>
  </r>
  <r>
    <x v="156"/>
    <x v="138"/>
    <n v="3"/>
    <m/>
    <n v="1"/>
    <x v="3"/>
    <x v="0"/>
  </r>
  <r>
    <x v="157"/>
    <x v="139"/>
    <n v="2"/>
    <m/>
    <n v="1"/>
    <x v="8"/>
    <x v="0"/>
  </r>
  <r>
    <x v="91"/>
    <x v="79"/>
    <n v="2"/>
    <m/>
    <n v="1"/>
    <x v="9"/>
    <x v="0"/>
  </r>
  <r>
    <x v="158"/>
    <x v="140"/>
    <n v="2"/>
    <m/>
    <n v="1"/>
    <x v="72"/>
    <x v="0"/>
  </r>
  <r>
    <x v="159"/>
    <x v="15"/>
    <n v="4"/>
    <m/>
    <n v="0"/>
    <x v="14"/>
    <x v="1"/>
  </r>
  <r>
    <x v="160"/>
    <x v="141"/>
    <n v="2"/>
    <m/>
    <n v="1"/>
    <x v="73"/>
    <x v="0"/>
  </r>
  <r>
    <x v="161"/>
    <x v="142"/>
    <n v="3"/>
    <m/>
    <n v="1"/>
    <x v="57"/>
    <x v="0"/>
  </r>
  <r>
    <x v="162"/>
    <x v="15"/>
    <n v="2"/>
    <m/>
    <n v="0"/>
    <x v="14"/>
    <x v="1"/>
  </r>
  <r>
    <x v="163"/>
    <x v="143"/>
    <n v="2"/>
    <m/>
    <n v="1"/>
    <x v="4"/>
    <x v="0"/>
  </r>
  <r>
    <x v="164"/>
    <x v="144"/>
    <n v="3"/>
    <m/>
    <n v="1"/>
    <x v="9"/>
    <x v="0"/>
  </r>
  <r>
    <x v="165"/>
    <x v="145"/>
    <n v="8"/>
    <m/>
    <n v="1"/>
    <x v="25"/>
    <x v="0"/>
  </r>
  <r>
    <x v="166"/>
    <x v="146"/>
    <n v="2"/>
    <m/>
    <n v="1"/>
    <x v="4"/>
    <x v="0"/>
  </r>
  <r>
    <x v="167"/>
    <x v="147"/>
    <n v="2"/>
    <m/>
    <n v="1"/>
    <x v="36"/>
    <x v="0"/>
  </r>
  <r>
    <x v="168"/>
    <x v="45"/>
    <n v="2"/>
    <m/>
    <n v="1"/>
    <x v="34"/>
    <x v="0"/>
  </r>
  <r>
    <x v="169"/>
    <x v="148"/>
    <n v="2"/>
    <m/>
    <n v="1"/>
    <x v="46"/>
    <x v="0"/>
  </r>
  <r>
    <x v="170"/>
    <x v="36"/>
    <n v="4"/>
    <m/>
    <n v="1"/>
    <x v="7"/>
    <x v="0"/>
  </r>
  <r>
    <x v="171"/>
    <x v="149"/>
    <n v="6"/>
    <m/>
    <n v="1"/>
    <x v="59"/>
    <x v="0"/>
  </r>
  <r>
    <x v="172"/>
    <x v="19"/>
    <n v="3"/>
    <m/>
    <n v="1"/>
    <x v="61"/>
    <x v="0"/>
  </r>
  <r>
    <x v="173"/>
    <x v="19"/>
    <n v="3"/>
    <m/>
    <n v="1"/>
    <x v="61"/>
    <x v="0"/>
  </r>
  <r>
    <x v="174"/>
    <x v="19"/>
    <n v="4"/>
    <m/>
    <n v="1"/>
    <x v="74"/>
    <x v="0"/>
  </r>
  <r>
    <x v="175"/>
    <x v="150"/>
    <n v="3"/>
    <m/>
    <n v="1"/>
    <x v="13"/>
    <x v="0"/>
  </r>
  <r>
    <x v="176"/>
    <x v="19"/>
    <n v="3"/>
    <m/>
    <n v="1"/>
    <x v="2"/>
    <x v="0"/>
  </r>
  <r>
    <x v="177"/>
    <x v="19"/>
    <n v="3"/>
    <m/>
    <n v="1"/>
    <x v="9"/>
    <x v="0"/>
  </r>
  <r>
    <x v="178"/>
    <x v="151"/>
    <n v="4"/>
    <m/>
    <n v="1"/>
    <x v="75"/>
    <x v="0"/>
  </r>
  <r>
    <x v="179"/>
    <x v="152"/>
    <n v="3"/>
    <m/>
    <n v="1"/>
    <x v="8"/>
    <x v="0"/>
  </r>
  <r>
    <x v="180"/>
    <x v="153"/>
    <n v="3"/>
    <m/>
    <n v="1"/>
    <x v="12"/>
    <x v="0"/>
  </r>
  <r>
    <x v="181"/>
    <x v="154"/>
    <n v="3"/>
    <m/>
    <n v="1"/>
    <x v="12"/>
    <x v="0"/>
  </r>
  <r>
    <x v="182"/>
    <x v="155"/>
    <n v="3"/>
    <m/>
    <n v="1"/>
    <x v="56"/>
    <x v="0"/>
  </r>
  <r>
    <x v="183"/>
    <x v="156"/>
    <n v="6"/>
    <m/>
    <n v="1"/>
    <x v="38"/>
    <x v="0"/>
  </r>
  <r>
    <x v="184"/>
    <x v="19"/>
    <n v="4"/>
    <m/>
    <n v="1"/>
    <x v="76"/>
    <x v="0"/>
  </r>
  <r>
    <x v="185"/>
    <x v="157"/>
    <n v="8"/>
    <m/>
    <n v="2"/>
    <x v="18"/>
    <x v="2"/>
  </r>
  <r>
    <x v="186"/>
    <x v="158"/>
    <n v="2"/>
    <m/>
    <n v="2"/>
    <x v="21"/>
    <x v="4"/>
  </r>
  <r>
    <x v="187"/>
    <x v="159"/>
    <n v="1"/>
    <m/>
    <n v="1"/>
    <x v="65"/>
    <x v="3"/>
  </r>
  <r>
    <x v="188"/>
    <x v="19"/>
    <n v="1"/>
    <m/>
    <n v="1"/>
    <x v="23"/>
    <x v="3"/>
  </r>
  <r>
    <x v="189"/>
    <x v="160"/>
    <n v="18"/>
    <m/>
    <n v="1"/>
    <x v="77"/>
    <x v="3"/>
  </r>
  <r>
    <x v="190"/>
    <x v="19"/>
    <n v="1"/>
    <m/>
    <n v="1"/>
    <x v="20"/>
    <x v="3"/>
  </r>
  <r>
    <x v="191"/>
    <x v="161"/>
    <n v="2"/>
    <m/>
    <n v="2"/>
    <x v="21"/>
    <x v="4"/>
  </r>
  <r>
    <x v="192"/>
    <x v="19"/>
    <n v="1"/>
    <m/>
    <n v="1"/>
    <x v="21"/>
    <x v="3"/>
  </r>
  <r>
    <x v="193"/>
    <x v="162"/>
    <n v="10"/>
    <m/>
    <n v="2"/>
    <x v="78"/>
    <x v="4"/>
  </r>
  <r>
    <x v="194"/>
    <x v="163"/>
    <n v="2"/>
    <m/>
    <n v="3"/>
    <x v="1"/>
    <x v="4"/>
  </r>
  <r>
    <x v="195"/>
    <x v="164"/>
    <n v="2"/>
    <m/>
    <n v="1"/>
    <x v="6"/>
    <x v="0"/>
  </r>
  <r>
    <x v="196"/>
    <x v="165"/>
    <n v="2"/>
    <m/>
    <n v="1"/>
    <x v="24"/>
    <x v="0"/>
  </r>
  <r>
    <x v="197"/>
    <x v="166"/>
    <n v="2"/>
    <m/>
    <n v="1"/>
    <x v="39"/>
    <x v="0"/>
  </r>
  <r>
    <x v="198"/>
    <x v="167"/>
    <n v="2"/>
    <m/>
    <n v="1"/>
    <x v="39"/>
    <x v="0"/>
  </r>
  <r>
    <x v="199"/>
    <x v="168"/>
    <n v="2"/>
    <m/>
    <n v="1"/>
    <x v="24"/>
    <x v="0"/>
  </r>
  <r>
    <x v="200"/>
    <x v="169"/>
    <n v="2"/>
    <m/>
    <n v="1"/>
    <x v="79"/>
    <x v="0"/>
  </r>
  <r>
    <x v="201"/>
    <x v="170"/>
    <n v="5"/>
    <m/>
    <n v="1"/>
    <x v="80"/>
    <x v="0"/>
  </r>
  <r>
    <x v="202"/>
    <x v="19"/>
    <n v="2"/>
    <m/>
    <n v="1"/>
    <x v="81"/>
    <x v="0"/>
  </r>
  <r>
    <x v="203"/>
    <x v="171"/>
    <n v="2"/>
    <m/>
    <n v="1"/>
    <x v="30"/>
    <x v="0"/>
  </r>
  <r>
    <x v="204"/>
    <x v="172"/>
    <n v="2"/>
    <m/>
    <n v="1"/>
    <x v="43"/>
    <x v="0"/>
  </r>
  <r>
    <x v="205"/>
    <x v="173"/>
    <n v="2"/>
    <m/>
    <n v="1"/>
    <x v="30"/>
    <x v="0"/>
  </r>
  <r>
    <x v="206"/>
    <x v="174"/>
    <n v="2"/>
    <m/>
    <n v="1"/>
    <x v="3"/>
    <x v="0"/>
  </r>
  <r>
    <x v="207"/>
    <x v="175"/>
    <n v="8"/>
    <m/>
    <n v="1"/>
    <x v="25"/>
    <x v="0"/>
  </r>
  <r>
    <x v="208"/>
    <x v="176"/>
    <n v="2"/>
    <m/>
    <n v="1"/>
    <x v="82"/>
    <x v="0"/>
  </r>
  <r>
    <x v="209"/>
    <x v="177"/>
    <n v="3"/>
    <m/>
    <n v="1"/>
    <x v="2"/>
    <x v="0"/>
  </r>
  <r>
    <x v="210"/>
    <x v="178"/>
    <n v="2"/>
    <m/>
    <n v="1"/>
    <x v="41"/>
    <x v="0"/>
  </r>
  <r>
    <x v="211"/>
    <x v="179"/>
    <n v="3"/>
    <m/>
    <n v="1"/>
    <x v="4"/>
    <x v="0"/>
  </r>
  <r>
    <x v="212"/>
    <x v="19"/>
    <n v="2"/>
    <m/>
    <n v="1"/>
    <x v="83"/>
    <x v="0"/>
  </r>
  <r>
    <x v="213"/>
    <x v="19"/>
    <n v="2"/>
    <m/>
    <n v="1"/>
    <x v="83"/>
    <x v="0"/>
  </r>
  <r>
    <x v="214"/>
    <x v="180"/>
    <n v="3"/>
    <m/>
    <n v="1"/>
    <x v="0"/>
    <x v="0"/>
  </r>
  <r>
    <x v="215"/>
    <x v="181"/>
    <n v="3"/>
    <m/>
    <n v="1"/>
    <x v="57"/>
    <x v="0"/>
  </r>
  <r>
    <x v="216"/>
    <x v="182"/>
    <n v="2"/>
    <m/>
    <n v="1"/>
    <x v="69"/>
    <x v="0"/>
  </r>
  <r>
    <x v="217"/>
    <x v="183"/>
    <n v="2"/>
    <m/>
    <n v="1"/>
    <x v="52"/>
    <x v="0"/>
  </r>
  <r>
    <x v="218"/>
    <x v="184"/>
    <n v="2"/>
    <m/>
    <n v="1"/>
    <x v="82"/>
    <x v="0"/>
  </r>
  <r>
    <x v="219"/>
    <x v="185"/>
    <n v="6"/>
    <m/>
    <n v="1"/>
    <x v="7"/>
    <x v="0"/>
  </r>
  <r>
    <x v="220"/>
    <x v="19"/>
    <n v="3"/>
    <m/>
    <n v="1"/>
    <x v="84"/>
    <x v="0"/>
  </r>
  <r>
    <x v="221"/>
    <x v="19"/>
    <n v="3"/>
    <m/>
    <n v="1"/>
    <x v="84"/>
    <x v="0"/>
  </r>
  <r>
    <x v="222"/>
    <x v="19"/>
    <n v="3"/>
    <m/>
    <n v="1"/>
    <x v="84"/>
    <x v="0"/>
  </r>
  <r>
    <x v="223"/>
    <x v="186"/>
    <n v="2"/>
    <m/>
    <n v="1"/>
    <x v="36"/>
    <x v="0"/>
  </r>
  <r>
    <x v="224"/>
    <x v="187"/>
    <n v="2"/>
    <m/>
    <n v="1"/>
    <x v="85"/>
    <x v="0"/>
  </r>
  <r>
    <x v="225"/>
    <x v="188"/>
    <n v="2"/>
    <m/>
    <n v="1"/>
    <x v="86"/>
    <x v="0"/>
  </r>
  <r>
    <x v="226"/>
    <x v="189"/>
    <n v="2"/>
    <m/>
    <n v="1"/>
    <x v="87"/>
    <x v="0"/>
  </r>
  <r>
    <x v="227"/>
    <x v="190"/>
    <n v="2"/>
    <m/>
    <n v="1"/>
    <x v="88"/>
    <x v="0"/>
  </r>
  <r>
    <x v="228"/>
    <x v="191"/>
    <n v="6"/>
    <m/>
    <n v="1"/>
    <x v="59"/>
    <x v="0"/>
  </r>
  <r>
    <x v="229"/>
    <x v="15"/>
    <n v="2"/>
    <m/>
    <n v="0"/>
    <x v="14"/>
    <x v="1"/>
  </r>
  <r>
    <x v="230"/>
    <x v="192"/>
    <n v="2"/>
    <m/>
    <n v="1"/>
    <x v="87"/>
    <x v="0"/>
  </r>
  <r>
    <x v="231"/>
    <x v="15"/>
    <n v="2"/>
    <m/>
    <n v="0"/>
    <x v="14"/>
    <x v="1"/>
  </r>
  <r>
    <x v="232"/>
    <x v="193"/>
    <n v="3"/>
    <m/>
    <n v="1"/>
    <x v="60"/>
    <x v="0"/>
  </r>
  <r>
    <x v="233"/>
    <x v="194"/>
    <n v="3"/>
    <m/>
    <n v="1"/>
    <x v="89"/>
    <x v="0"/>
  </r>
  <r>
    <x v="234"/>
    <x v="195"/>
    <n v="1"/>
    <m/>
    <n v="2"/>
    <x v="65"/>
    <x v="4"/>
  </r>
  <r>
    <x v="235"/>
    <x v="196"/>
    <n v="1"/>
    <m/>
    <n v="1"/>
    <x v="20"/>
    <x v="3"/>
  </r>
  <r>
    <x v="236"/>
    <x v="197"/>
    <n v="3"/>
    <m/>
    <n v="1"/>
    <x v="57"/>
    <x v="0"/>
  </r>
  <r>
    <x v="237"/>
    <x v="198"/>
    <n v="2"/>
    <m/>
    <n v="2"/>
    <x v="21"/>
    <x v="4"/>
  </r>
  <r>
    <x v="238"/>
    <x v="19"/>
    <n v="2"/>
    <m/>
    <n v="1"/>
    <x v="39"/>
    <x v="0"/>
  </r>
  <r>
    <x v="239"/>
    <x v="199"/>
    <n v="2"/>
    <m/>
    <n v="2"/>
    <x v="20"/>
    <x v="4"/>
  </r>
  <r>
    <x v="240"/>
    <x v="19"/>
    <n v="3"/>
    <m/>
    <n v="2"/>
    <x v="19"/>
    <x v="2"/>
  </r>
  <r>
    <x v="241"/>
    <x v="19"/>
    <n v="2"/>
    <m/>
    <n v="2"/>
    <x v="24"/>
    <x v="2"/>
  </r>
  <r>
    <x v="242"/>
    <x v="200"/>
    <n v="3"/>
    <m/>
    <n v="2"/>
    <x v="25"/>
    <x v="4"/>
  </r>
  <r>
    <x v="243"/>
    <x v="19"/>
    <n v="3"/>
    <m/>
    <n v="1"/>
    <x v="89"/>
    <x v="0"/>
  </r>
  <r>
    <x v="244"/>
    <x v="201"/>
    <n v="2"/>
    <m/>
    <n v="2"/>
    <x v="21"/>
    <x v="4"/>
  </r>
  <r>
    <x v="245"/>
    <x v="202"/>
    <n v="2"/>
    <m/>
    <n v="1"/>
    <x v="41"/>
    <x v="0"/>
  </r>
  <r>
    <x v="246"/>
    <x v="203"/>
    <n v="2"/>
    <m/>
    <n v="2"/>
    <x v="24"/>
    <x v="4"/>
  </r>
  <r>
    <x v="247"/>
    <x v="204"/>
    <n v="3"/>
    <m/>
    <n v="1"/>
    <x v="19"/>
    <x v="0"/>
  </r>
  <r>
    <x v="248"/>
    <x v="205"/>
    <n v="6"/>
    <m/>
    <n v="1"/>
    <x v="27"/>
    <x v="0"/>
  </r>
  <r>
    <x v="249"/>
    <x v="206"/>
    <n v="6"/>
    <m/>
    <n v="1"/>
    <x v="27"/>
    <x v="0"/>
  </r>
  <r>
    <x v="250"/>
    <x v="15"/>
    <n v="6"/>
    <m/>
    <n v="0"/>
    <x v="14"/>
    <x v="1"/>
  </r>
  <r>
    <x v="251"/>
    <x v="15"/>
    <n v="6"/>
    <m/>
    <n v="0"/>
    <x v="14"/>
    <x v="1"/>
  </r>
  <r>
    <x v="252"/>
    <x v="207"/>
    <n v="2"/>
    <m/>
    <n v="1"/>
    <x v="90"/>
    <x v="0"/>
  </r>
  <r>
    <x v="253"/>
    <x v="208"/>
    <n v="2"/>
    <m/>
    <n v="1"/>
    <x v="72"/>
    <x v="0"/>
  </r>
  <r>
    <x v="254"/>
    <x v="209"/>
    <n v="2"/>
    <m/>
    <n v="1"/>
    <x v="5"/>
    <x v="0"/>
  </r>
  <r>
    <x v="255"/>
    <x v="210"/>
    <n v="4"/>
    <m/>
    <n v="1"/>
    <x v="55"/>
    <x v="0"/>
  </r>
  <r>
    <x v="256"/>
    <x v="211"/>
    <n v="2"/>
    <m/>
    <n v="1"/>
    <x v="73"/>
    <x v="0"/>
  </r>
  <r>
    <x v="257"/>
    <x v="19"/>
    <n v="2"/>
    <m/>
    <n v="1"/>
    <x v="83"/>
    <x v="0"/>
  </r>
  <r>
    <x v="258"/>
    <x v="212"/>
    <n v="2"/>
    <m/>
    <n v="1"/>
    <x v="35"/>
    <x v="0"/>
  </r>
  <r>
    <x v="259"/>
    <x v="213"/>
    <n v="3"/>
    <m/>
    <n v="1"/>
    <x v="51"/>
    <x v="0"/>
  </r>
  <r>
    <x v="260"/>
    <x v="19"/>
    <n v="2"/>
    <m/>
    <n v="1"/>
    <x v="91"/>
    <x v="0"/>
  </r>
  <r>
    <x v="261"/>
    <x v="214"/>
    <n v="2"/>
    <m/>
    <n v="1"/>
    <x v="85"/>
    <x v="0"/>
  </r>
  <r>
    <x v="262"/>
    <x v="215"/>
    <n v="2"/>
    <m/>
    <n v="1"/>
    <x v="86"/>
    <x v="0"/>
  </r>
  <r>
    <x v="263"/>
    <x v="216"/>
    <n v="3"/>
    <m/>
    <n v="1"/>
    <x v="4"/>
    <x v="0"/>
  </r>
  <r>
    <x v="264"/>
    <x v="19"/>
    <n v="3"/>
    <m/>
    <n v="1"/>
    <x v="47"/>
    <x v="0"/>
  </r>
  <r>
    <x v="265"/>
    <x v="217"/>
    <n v="3"/>
    <m/>
    <n v="1"/>
    <x v="13"/>
    <x v="0"/>
  </r>
  <r>
    <x v="266"/>
    <x v="218"/>
    <n v="3"/>
    <m/>
    <n v="1"/>
    <x v="37"/>
    <x v="0"/>
  </r>
  <r>
    <x v="267"/>
    <x v="219"/>
    <n v="3"/>
    <m/>
    <n v="1"/>
    <x v="37"/>
    <x v="0"/>
  </r>
  <r>
    <x v="268"/>
    <x v="19"/>
    <n v="2"/>
    <m/>
    <n v="1"/>
    <x v="91"/>
    <x v="0"/>
  </r>
  <r>
    <x v="269"/>
    <x v="220"/>
    <n v="2"/>
    <m/>
    <n v="1"/>
    <x v="49"/>
    <x v="0"/>
  </r>
  <r>
    <x v="270"/>
    <x v="19"/>
    <n v="2"/>
    <m/>
    <n v="1"/>
    <x v="54"/>
    <x v="0"/>
  </r>
  <r>
    <x v="271"/>
    <x v="19"/>
    <n v="2"/>
    <m/>
    <n v="1"/>
    <x v="47"/>
    <x v="0"/>
  </r>
  <r>
    <x v="272"/>
    <x v="221"/>
    <n v="3"/>
    <m/>
    <n v="1"/>
    <x v="66"/>
    <x v="0"/>
  </r>
  <r>
    <x v="273"/>
    <x v="19"/>
    <n v="3"/>
    <m/>
    <n v="1"/>
    <x v="17"/>
    <x v="0"/>
  </r>
  <r>
    <x v="274"/>
    <x v="222"/>
    <n v="3"/>
    <m/>
    <n v="1"/>
    <x v="65"/>
    <x v="0"/>
  </r>
  <r>
    <x v="275"/>
    <x v="223"/>
    <n v="2"/>
    <m/>
    <n v="1"/>
    <x v="53"/>
    <x v="0"/>
  </r>
  <r>
    <x v="276"/>
    <x v="224"/>
    <n v="2"/>
    <m/>
    <n v="1"/>
    <x v="50"/>
    <x v="0"/>
  </r>
  <r>
    <x v="218"/>
    <x v="184"/>
    <n v="2"/>
    <m/>
    <n v="1"/>
    <x v="82"/>
    <x v="0"/>
  </r>
  <r>
    <x v="277"/>
    <x v="225"/>
    <n v="2"/>
    <m/>
    <n v="1"/>
    <x v="73"/>
    <x v="0"/>
  </r>
  <r>
    <x v="278"/>
    <x v="19"/>
    <n v="8"/>
    <m/>
    <n v="1"/>
    <x v="25"/>
    <x v="0"/>
  </r>
  <r>
    <x v="278"/>
    <x v="19"/>
    <n v="6"/>
    <m/>
    <n v="1"/>
    <x v="25"/>
    <x v="0"/>
  </r>
  <r>
    <x v="279"/>
    <x v="226"/>
    <n v="6"/>
    <m/>
    <n v="1"/>
    <x v="25"/>
    <x v="0"/>
  </r>
  <r>
    <x v="280"/>
    <x v="227"/>
    <n v="3"/>
    <m/>
    <n v="1"/>
    <x v="80"/>
    <x v="0"/>
  </r>
  <r>
    <x v="281"/>
    <x v="228"/>
    <n v="2"/>
    <m/>
    <n v="1"/>
    <x v="36"/>
    <x v="0"/>
  </r>
  <r>
    <x v="282"/>
    <x v="229"/>
    <n v="2"/>
    <m/>
    <n v="1"/>
    <x v="43"/>
    <x v="0"/>
  </r>
  <r>
    <x v="283"/>
    <x v="230"/>
    <n v="2"/>
    <m/>
    <n v="1"/>
    <x v="6"/>
    <x v="0"/>
  </r>
  <r>
    <x v="284"/>
    <x v="231"/>
    <n v="4"/>
    <m/>
    <n v="1"/>
    <x v="7"/>
    <x v="0"/>
  </r>
  <r>
    <x v="285"/>
    <x v="232"/>
    <n v="3"/>
    <m/>
    <n v="1"/>
    <x v="15"/>
    <x v="0"/>
  </r>
  <r>
    <x v="286"/>
    <x v="233"/>
    <n v="3"/>
    <m/>
    <n v="1"/>
    <x v="15"/>
    <x v="0"/>
  </r>
  <r>
    <x v="287"/>
    <x v="234"/>
    <n v="3"/>
    <m/>
    <n v="1"/>
    <x v="61"/>
    <x v="0"/>
  </r>
  <r>
    <x v="288"/>
    <x v="235"/>
    <n v="3"/>
    <m/>
    <n v="1"/>
    <x v="2"/>
    <x v="0"/>
  </r>
  <r>
    <x v="289"/>
    <x v="19"/>
    <n v="2"/>
    <m/>
    <n v="1"/>
    <x v="62"/>
    <x v="0"/>
  </r>
  <r>
    <x v="290"/>
    <x v="236"/>
    <n v="2"/>
    <m/>
    <n v="1"/>
    <x v="35"/>
    <x v="0"/>
  </r>
  <r>
    <x v="291"/>
    <x v="237"/>
    <n v="4"/>
    <m/>
    <n v="1"/>
    <x v="28"/>
    <x v="0"/>
  </r>
  <r>
    <x v="292"/>
    <x v="15"/>
    <n v="2"/>
    <m/>
    <n v="0"/>
    <x v="14"/>
    <x v="1"/>
  </r>
  <r>
    <x v="293"/>
    <x v="238"/>
    <n v="2"/>
    <m/>
    <n v="1"/>
    <x v="92"/>
    <x v="0"/>
  </r>
  <r>
    <x v="294"/>
    <x v="239"/>
    <n v="2"/>
    <m/>
    <n v="1"/>
    <x v="93"/>
    <x v="0"/>
  </r>
  <r>
    <x v="295"/>
    <x v="240"/>
    <n v="3"/>
    <m/>
    <n v="1"/>
    <x v="56"/>
    <x v="0"/>
  </r>
  <r>
    <x v="296"/>
    <x v="241"/>
    <n v="2"/>
    <m/>
    <n v="1"/>
    <x v="16"/>
    <x v="0"/>
  </r>
  <r>
    <x v="297"/>
    <x v="19"/>
    <n v="1"/>
    <m/>
    <n v="1"/>
    <x v="20"/>
    <x v="3"/>
  </r>
  <r>
    <x v="298"/>
    <x v="19"/>
    <n v="1"/>
    <m/>
    <n v="1"/>
    <x v="21"/>
    <x v="3"/>
  </r>
  <r>
    <x v="299"/>
    <x v="242"/>
    <n v="2"/>
    <m/>
    <n v="2"/>
    <x v="65"/>
    <x v="2"/>
  </r>
  <r>
    <x v="300"/>
    <x v="243"/>
    <n v="2"/>
    <m/>
    <n v="1"/>
    <x v="24"/>
    <x v="0"/>
  </r>
  <r>
    <x v="301"/>
    <x v="244"/>
    <n v="3"/>
    <m/>
    <n v="1"/>
    <x v="89"/>
    <x v="0"/>
  </r>
  <r>
    <x v="302"/>
    <x v="245"/>
    <n v="2"/>
    <m/>
    <n v="1"/>
    <x v="23"/>
    <x v="0"/>
  </r>
  <r>
    <x v="303"/>
    <x v="246"/>
    <n v="2"/>
    <m/>
    <n v="2"/>
    <x v="24"/>
    <x v="4"/>
  </r>
  <r>
    <x v="304"/>
    <x v="247"/>
    <n v="3"/>
    <m/>
    <n v="1"/>
    <x v="19"/>
    <x v="0"/>
  </r>
  <r>
    <x v="305"/>
    <x v="19"/>
    <n v="2"/>
    <m/>
    <n v="1"/>
    <x v="94"/>
    <x v="0"/>
  </r>
  <r>
    <x v="306"/>
    <x v="248"/>
    <n v="3"/>
    <m/>
    <n v="1"/>
    <x v="20"/>
    <x v="0"/>
  </r>
  <r>
    <x v="307"/>
    <x v="249"/>
    <n v="6"/>
    <m/>
    <n v="1"/>
    <x v="27"/>
    <x v="0"/>
  </r>
  <r>
    <x v="308"/>
    <x v="250"/>
    <n v="6"/>
    <m/>
    <n v="1"/>
    <x v="27"/>
    <x v="0"/>
  </r>
  <r>
    <x v="309"/>
    <x v="15"/>
    <n v="6"/>
    <m/>
    <n v="0"/>
    <x v="14"/>
    <x v="1"/>
  </r>
  <r>
    <x v="310"/>
    <x v="15"/>
    <n v="6"/>
    <m/>
    <n v="0"/>
    <x v="14"/>
    <x v="1"/>
  </r>
  <r>
    <x v="311"/>
    <x v="251"/>
    <n v="6"/>
    <m/>
    <n v="1"/>
    <x v="10"/>
    <x v="0"/>
  </r>
  <r>
    <x v="312"/>
    <x v="252"/>
    <n v="2"/>
    <m/>
    <n v="1"/>
    <x v="30"/>
    <x v="0"/>
  </r>
  <r>
    <x v="313"/>
    <x v="253"/>
    <n v="2"/>
    <m/>
    <n v="1"/>
    <x v="35"/>
    <x v="0"/>
  </r>
  <r>
    <x v="314"/>
    <x v="254"/>
    <n v="2"/>
    <m/>
    <n v="1"/>
    <x v="44"/>
    <x v="0"/>
  </r>
  <r>
    <x v="151"/>
    <x v="134"/>
    <n v="2"/>
    <m/>
    <n v="1"/>
    <x v="37"/>
    <x v="0"/>
  </r>
  <r>
    <x v="315"/>
    <x v="255"/>
    <n v="2"/>
    <m/>
    <n v="1"/>
    <x v="39"/>
    <x v="0"/>
  </r>
  <r>
    <x v="316"/>
    <x v="256"/>
    <n v="3"/>
    <m/>
    <n v="1"/>
    <x v="57"/>
    <x v="0"/>
  </r>
  <r>
    <x v="317"/>
    <x v="257"/>
    <n v="2"/>
    <m/>
    <n v="1"/>
    <x v="95"/>
    <x v="0"/>
  </r>
  <r>
    <x v="318"/>
    <x v="258"/>
    <n v="3"/>
    <m/>
    <n v="1"/>
    <x v="37"/>
    <x v="0"/>
  </r>
  <r>
    <x v="319"/>
    <x v="19"/>
    <n v="3"/>
    <m/>
    <n v="1"/>
    <x v="89"/>
    <x v="0"/>
  </r>
  <r>
    <x v="320"/>
    <x v="259"/>
    <n v="2"/>
    <m/>
    <n v="1"/>
    <x v="92"/>
    <x v="0"/>
  </r>
  <r>
    <x v="321"/>
    <x v="260"/>
    <n v="2"/>
    <m/>
    <n v="1"/>
    <x v="63"/>
    <x v="0"/>
  </r>
  <r>
    <x v="322"/>
    <x v="261"/>
    <n v="2"/>
    <m/>
    <n v="1"/>
    <x v="68"/>
    <x v="0"/>
  </r>
  <r>
    <x v="323"/>
    <x v="262"/>
    <n v="2"/>
    <m/>
    <n v="1"/>
    <x v="96"/>
    <x v="0"/>
  </r>
  <r>
    <x v="324"/>
    <x v="19"/>
    <n v="2"/>
    <m/>
    <n v="1"/>
    <x v="97"/>
    <x v="0"/>
  </r>
  <r>
    <x v="325"/>
    <x v="15"/>
    <n v="2"/>
    <m/>
    <n v="0"/>
    <x v="14"/>
    <x v="1"/>
  </r>
  <r>
    <x v="326"/>
    <x v="263"/>
    <n v="3"/>
    <m/>
    <n v="1"/>
    <x v="13"/>
    <x v="0"/>
  </r>
  <r>
    <x v="327"/>
    <x v="264"/>
    <n v="2"/>
    <m/>
    <n v="1"/>
    <x v="95"/>
    <x v="0"/>
  </r>
  <r>
    <x v="328"/>
    <x v="265"/>
    <n v="2"/>
    <m/>
    <n v="1"/>
    <x v="23"/>
    <x v="0"/>
  </r>
  <r>
    <x v="329"/>
    <x v="266"/>
    <n v="2"/>
    <m/>
    <n v="1"/>
    <x v="0"/>
    <x v="0"/>
  </r>
  <r>
    <x v="330"/>
    <x v="267"/>
    <n v="3"/>
    <m/>
    <n v="1"/>
    <x v="20"/>
    <x v="0"/>
  </r>
  <r>
    <x v="331"/>
    <x v="268"/>
    <n v="3"/>
    <m/>
    <n v="1"/>
    <x v="21"/>
    <x v="0"/>
  </r>
  <r>
    <x v="332"/>
    <x v="269"/>
    <n v="3"/>
    <m/>
    <n v="1"/>
    <x v="80"/>
    <x v="0"/>
  </r>
  <r>
    <x v="333"/>
    <x v="270"/>
    <n v="2"/>
    <m/>
    <n v="1"/>
    <x v="43"/>
    <x v="0"/>
  </r>
  <r>
    <x v="334"/>
    <x v="271"/>
    <n v="2"/>
    <m/>
    <n v="1"/>
    <x v="6"/>
    <x v="0"/>
  </r>
  <r>
    <x v="335"/>
    <x v="272"/>
    <n v="3"/>
    <m/>
    <n v="1"/>
    <x v="17"/>
    <x v="0"/>
  </r>
  <r>
    <x v="336"/>
    <x v="273"/>
    <n v="8"/>
    <m/>
    <n v="1"/>
    <x v="25"/>
    <x v="0"/>
  </r>
  <r>
    <x v="337"/>
    <x v="274"/>
    <n v="2"/>
    <m/>
    <n v="1"/>
    <x v="96"/>
    <x v="0"/>
  </r>
  <r>
    <x v="338"/>
    <x v="275"/>
    <n v="2"/>
    <m/>
    <n v="1"/>
    <x v="79"/>
    <x v="0"/>
  </r>
  <r>
    <x v="339"/>
    <x v="15"/>
    <n v="2"/>
    <m/>
    <n v="0"/>
    <x v="14"/>
    <x v="1"/>
  </r>
  <r>
    <x v="340"/>
    <x v="15"/>
    <n v="2"/>
    <m/>
    <n v="0"/>
    <x v="14"/>
    <x v="1"/>
  </r>
  <r>
    <x v="341"/>
    <x v="276"/>
    <n v="2"/>
    <m/>
    <n v="1"/>
    <x v="63"/>
    <x v="0"/>
  </r>
  <r>
    <x v="342"/>
    <x v="277"/>
    <n v="2"/>
    <m/>
    <n v="1"/>
    <x v="5"/>
    <x v="0"/>
  </r>
  <r>
    <x v="343"/>
    <x v="278"/>
    <n v="2"/>
    <m/>
    <n v="1"/>
    <x v="90"/>
    <x v="0"/>
  </r>
  <r>
    <x v="344"/>
    <x v="279"/>
    <n v="4"/>
    <m/>
    <n v="1"/>
    <x v="1"/>
    <x v="0"/>
  </r>
  <r>
    <x v="345"/>
    <x v="280"/>
    <n v="8"/>
    <m/>
    <n v="1"/>
    <x v="25"/>
    <x v="0"/>
  </r>
  <r>
    <x v="346"/>
    <x v="281"/>
    <n v="3"/>
    <m/>
    <n v="1"/>
    <x v="64"/>
    <x v="0"/>
  </r>
  <r>
    <x v="347"/>
    <x v="282"/>
    <n v="3"/>
    <m/>
    <n v="1"/>
    <x v="64"/>
    <x v="0"/>
  </r>
  <r>
    <x v="348"/>
    <x v="283"/>
    <n v="3"/>
    <m/>
    <n v="1"/>
    <x v="60"/>
    <x v="0"/>
  </r>
  <r>
    <x v="349"/>
    <x v="284"/>
    <n v="3"/>
    <m/>
    <n v="1"/>
    <x v="60"/>
    <x v="0"/>
  </r>
  <r>
    <x v="350"/>
    <x v="285"/>
    <n v="2"/>
    <m/>
    <n v="1"/>
    <x v="35"/>
    <x v="0"/>
  </r>
  <r>
    <x v="351"/>
    <x v="286"/>
    <n v="2"/>
    <m/>
    <n v="1"/>
    <x v="5"/>
    <x v="0"/>
  </r>
  <r>
    <x v="352"/>
    <x v="287"/>
    <n v="2"/>
    <m/>
    <n v="2"/>
    <x v="22"/>
    <x v="2"/>
  </r>
  <r>
    <x v="353"/>
    <x v="288"/>
    <n v="2"/>
    <m/>
    <n v="2"/>
    <x v="37"/>
    <x v="4"/>
  </r>
  <r>
    <x v="354"/>
    <x v="289"/>
    <n v="2"/>
    <m/>
    <n v="2"/>
    <x v="40"/>
    <x v="4"/>
  </r>
  <r>
    <x v="355"/>
    <x v="290"/>
    <n v="3"/>
    <m/>
    <n v="2"/>
    <x v="21"/>
    <x v="2"/>
  </r>
  <r>
    <x v="356"/>
    <x v="291"/>
    <n v="1"/>
    <m/>
    <n v="2"/>
    <x v="22"/>
    <x v="4"/>
  </r>
  <r>
    <x v="357"/>
    <x v="19"/>
    <n v="1"/>
    <m/>
    <n v="1"/>
    <x v="20"/>
    <x v="3"/>
  </r>
  <r>
    <x v="358"/>
    <x v="292"/>
    <n v="4"/>
    <m/>
    <n v="2"/>
    <x v="67"/>
    <x v="2"/>
  </r>
  <r>
    <x v="359"/>
    <x v="293"/>
    <n v="2"/>
    <m/>
    <n v="2"/>
    <x v="37"/>
    <x v="4"/>
  </r>
  <r>
    <x v="360"/>
    <x v="294"/>
    <n v="2"/>
    <m/>
    <n v="2"/>
    <x v="24"/>
    <x v="4"/>
  </r>
  <r>
    <x v="361"/>
    <x v="295"/>
    <n v="3"/>
    <m/>
    <n v="1"/>
    <x v="89"/>
    <x v="0"/>
  </r>
  <r>
    <x v="362"/>
    <x v="296"/>
    <n v="2"/>
    <m/>
    <n v="1"/>
    <x v="39"/>
    <x v="0"/>
  </r>
  <r>
    <x v="363"/>
    <x v="297"/>
    <n v="3"/>
    <m/>
    <n v="1"/>
    <x v="20"/>
    <x v="0"/>
  </r>
  <r>
    <x v="364"/>
    <x v="15"/>
    <n v="6"/>
    <m/>
    <n v="0"/>
    <x v="14"/>
    <x v="1"/>
  </r>
  <r>
    <x v="365"/>
    <x v="298"/>
    <n v="6"/>
    <m/>
    <n v="1"/>
    <x v="27"/>
    <x v="0"/>
  </r>
  <r>
    <x v="366"/>
    <x v="299"/>
    <n v="2"/>
    <m/>
    <n v="1"/>
    <x v="30"/>
    <x v="0"/>
  </r>
  <r>
    <x v="367"/>
    <x v="300"/>
    <n v="3"/>
    <m/>
    <n v="1"/>
    <x v="66"/>
    <x v="0"/>
  </r>
  <r>
    <x v="368"/>
    <x v="301"/>
    <n v="2"/>
    <m/>
    <n v="1"/>
    <x v="87"/>
    <x v="0"/>
  </r>
  <r>
    <x v="369"/>
    <x v="19"/>
    <n v="2"/>
    <m/>
    <n v="1"/>
    <x v="98"/>
    <x v="0"/>
  </r>
  <r>
    <x v="370"/>
    <x v="302"/>
    <n v="2"/>
    <m/>
    <n v="2"/>
    <x v="99"/>
    <x v="4"/>
  </r>
  <r>
    <x v="371"/>
    <x v="303"/>
    <n v="4"/>
    <m/>
    <n v="1"/>
    <x v="1"/>
    <x v="0"/>
  </r>
  <r>
    <x v="372"/>
    <x v="304"/>
    <n v="4"/>
    <m/>
    <n v="1"/>
    <x v="1"/>
    <x v="0"/>
  </r>
  <r>
    <x v="373"/>
    <x v="305"/>
    <n v="2"/>
    <m/>
    <n v="1"/>
    <x v="57"/>
    <x v="0"/>
  </r>
  <r>
    <x v="374"/>
    <x v="306"/>
    <n v="2"/>
    <m/>
    <n v="1"/>
    <x v="4"/>
    <x v="0"/>
  </r>
  <r>
    <x v="375"/>
    <x v="307"/>
    <n v="10"/>
    <m/>
    <n v="1"/>
    <x v="25"/>
    <x v="0"/>
  </r>
  <r>
    <x v="376"/>
    <x v="308"/>
    <n v="4"/>
    <m/>
    <n v="1"/>
    <x v="59"/>
    <x v="0"/>
  </r>
  <r>
    <x v="377"/>
    <x v="309"/>
    <n v="2"/>
    <m/>
    <n v="1"/>
    <x v="87"/>
    <x v="0"/>
  </r>
  <r>
    <x v="378"/>
    <x v="19"/>
    <n v="2"/>
    <m/>
    <n v="1"/>
    <x v="62"/>
    <x v="0"/>
  </r>
  <r>
    <x v="379"/>
    <x v="310"/>
    <n v="6"/>
    <m/>
    <n v="1"/>
    <x v="18"/>
    <x v="0"/>
  </r>
  <r>
    <x v="380"/>
    <x v="311"/>
    <n v="2"/>
    <m/>
    <n v="1"/>
    <x v="98"/>
    <x v="0"/>
  </r>
  <r>
    <x v="381"/>
    <x v="312"/>
    <n v="2"/>
    <m/>
    <n v="1"/>
    <x v="30"/>
    <x v="0"/>
  </r>
  <r>
    <x v="382"/>
    <x v="313"/>
    <n v="2"/>
    <m/>
    <n v="1"/>
    <x v="88"/>
    <x v="0"/>
  </r>
  <r>
    <x v="383"/>
    <x v="314"/>
    <n v="3"/>
    <m/>
    <n v="1"/>
    <x v="18"/>
    <x v="0"/>
  </r>
  <r>
    <x v="383"/>
    <x v="314"/>
    <n v="3"/>
    <m/>
    <n v="1"/>
    <x v="18"/>
    <x v="0"/>
  </r>
  <r>
    <x v="159"/>
    <x v="15"/>
    <n v="4"/>
    <m/>
    <n v="0"/>
    <x v="14"/>
    <x v="1"/>
  </r>
  <r>
    <x v="384"/>
    <x v="19"/>
    <n v="2"/>
    <m/>
    <n v="1"/>
    <x v="83"/>
    <x v="0"/>
  </r>
  <r>
    <x v="385"/>
    <x v="315"/>
    <n v="3"/>
    <m/>
    <n v="1"/>
    <x v="9"/>
    <x v="0"/>
  </r>
  <r>
    <x v="103"/>
    <x v="91"/>
    <n v="6"/>
    <m/>
    <n v="1"/>
    <x v="9"/>
    <x v="0"/>
  </r>
  <r>
    <x v="386"/>
    <x v="316"/>
    <n v="3"/>
    <m/>
    <n v="1"/>
    <x v="56"/>
    <x v="0"/>
  </r>
  <r>
    <x v="387"/>
    <x v="317"/>
    <n v="3"/>
    <m/>
    <n v="1"/>
    <x v="21"/>
    <x v="0"/>
  </r>
  <r>
    <x v="388"/>
    <x v="318"/>
    <n v="2"/>
    <m/>
    <n v="1"/>
    <x v="36"/>
    <x v="0"/>
  </r>
  <r>
    <x v="389"/>
    <x v="319"/>
    <n v="2"/>
    <m/>
    <n v="1"/>
    <x v="8"/>
    <x v="0"/>
  </r>
  <r>
    <x v="390"/>
    <x v="320"/>
    <n v="3"/>
    <m/>
    <n v="1"/>
    <x v="21"/>
    <x v="0"/>
  </r>
  <r>
    <x v="391"/>
    <x v="321"/>
    <n v="2"/>
    <m/>
    <n v="1"/>
    <x v="36"/>
    <x v="0"/>
  </r>
  <r>
    <x v="392"/>
    <x v="322"/>
    <n v="2"/>
    <m/>
    <n v="2"/>
    <x v="99"/>
    <x v="4"/>
  </r>
  <r>
    <x v="393"/>
    <x v="323"/>
    <n v="2"/>
    <m/>
    <n v="1"/>
    <x v="6"/>
    <x v="0"/>
  </r>
  <r>
    <x v="394"/>
    <x v="324"/>
    <n v="6"/>
    <m/>
    <n v="1"/>
    <x v="59"/>
    <x v="0"/>
  </r>
  <r>
    <x v="395"/>
    <x v="19"/>
    <n v="3"/>
    <m/>
    <n v="1"/>
    <x v="17"/>
    <x v="0"/>
  </r>
  <r>
    <x v="396"/>
    <x v="19"/>
    <n v="3"/>
    <m/>
    <n v="1"/>
    <x v="17"/>
    <x v="0"/>
  </r>
  <r>
    <x v="397"/>
    <x v="19"/>
    <n v="3"/>
    <m/>
    <n v="1"/>
    <x v="84"/>
    <x v="0"/>
  </r>
  <r>
    <x v="398"/>
    <x v="19"/>
    <n v="3"/>
    <m/>
    <n v="1"/>
    <x v="84"/>
    <x v="0"/>
  </r>
  <r>
    <x v="399"/>
    <x v="325"/>
    <n v="3"/>
    <m/>
    <n v="1"/>
    <x v="60"/>
    <x v="0"/>
  </r>
  <r>
    <x v="400"/>
    <x v="15"/>
    <n v="3"/>
    <m/>
    <n v="0"/>
    <x v="14"/>
    <x v="1"/>
  </r>
  <r>
    <x v="401"/>
    <x v="326"/>
    <n v="2"/>
    <m/>
    <n v="1"/>
    <x v="32"/>
    <x v="0"/>
  </r>
  <r>
    <x v="402"/>
    <x v="327"/>
    <n v="2"/>
    <m/>
    <n v="1"/>
    <x v="16"/>
    <x v="0"/>
  </r>
  <r>
    <x v="403"/>
    <x v="15"/>
    <n v="2"/>
    <m/>
    <n v="0"/>
    <x v="14"/>
    <x v="1"/>
  </r>
  <r>
    <x v="404"/>
    <x v="328"/>
    <n v="2"/>
    <m/>
    <n v="1"/>
    <x v="45"/>
    <x v="0"/>
  </r>
  <r>
    <x v="55"/>
    <x v="48"/>
    <n v="6"/>
    <m/>
    <n v="1"/>
    <x v="37"/>
    <x v="0"/>
  </r>
  <r>
    <x v="405"/>
    <x v="19"/>
    <n v="4"/>
    <m/>
    <n v="1"/>
    <x v="1"/>
    <x v="0"/>
  </r>
  <r>
    <x v="406"/>
    <x v="329"/>
    <n v="6"/>
    <m/>
    <n v="1"/>
    <x v="59"/>
    <x v="0"/>
  </r>
  <r>
    <x v="407"/>
    <x v="330"/>
    <n v="1"/>
    <m/>
    <n v="2"/>
    <x v="19"/>
    <x v="4"/>
  </r>
  <r>
    <x v="408"/>
    <x v="331"/>
    <n v="1"/>
    <m/>
    <n v="2"/>
    <x v="19"/>
    <x v="4"/>
  </r>
  <r>
    <x v="409"/>
    <x v="19"/>
    <n v="1"/>
    <m/>
    <n v="1"/>
    <x v="65"/>
    <x v="3"/>
  </r>
  <r>
    <x v="410"/>
    <x v="332"/>
    <n v="1"/>
    <m/>
    <n v="1"/>
    <x v="21"/>
    <x v="3"/>
  </r>
  <r>
    <x v="411"/>
    <x v="19"/>
    <n v="1"/>
    <m/>
    <n v="1"/>
    <x v="21"/>
    <x v="3"/>
  </r>
  <r>
    <x v="412"/>
    <x v="333"/>
    <n v="3"/>
    <m/>
    <n v="1"/>
    <x v="66"/>
    <x v="0"/>
  </r>
  <r>
    <x v="413"/>
    <x v="334"/>
    <n v="3"/>
    <m/>
    <n v="1"/>
    <x v="19"/>
    <x v="0"/>
  </r>
  <r>
    <x v="414"/>
    <x v="335"/>
    <n v="1"/>
    <m/>
    <n v="2"/>
    <x v="22"/>
    <x v="4"/>
  </r>
  <r>
    <x v="415"/>
    <x v="19"/>
    <n v="2"/>
    <m/>
    <n v="1"/>
    <x v="94"/>
    <x v="0"/>
  </r>
  <r>
    <x v="416"/>
    <x v="19"/>
    <n v="1"/>
    <m/>
    <n v="1"/>
    <x v="20"/>
    <x v="3"/>
  </r>
  <r>
    <x v="417"/>
    <x v="336"/>
    <n v="3"/>
    <m/>
    <n v="1"/>
    <x v="20"/>
    <x v="0"/>
  </r>
  <r>
    <x v="418"/>
    <x v="19"/>
    <n v="2"/>
    <m/>
    <n v="1"/>
    <x v="94"/>
    <x v="0"/>
  </r>
  <r>
    <x v="419"/>
    <x v="19"/>
    <n v="2"/>
    <m/>
    <n v="1"/>
    <x v="81"/>
    <x v="0"/>
  </r>
  <r>
    <x v="420"/>
    <x v="337"/>
    <n v="3"/>
    <m/>
    <n v="1"/>
    <x v="19"/>
    <x v="0"/>
  </r>
  <r>
    <x v="421"/>
    <x v="338"/>
    <n v="2"/>
    <m/>
    <n v="1"/>
    <x v="92"/>
    <x v="0"/>
  </r>
  <r>
    <x v="422"/>
    <x v="339"/>
    <n v="2"/>
    <m/>
    <n v="1"/>
    <x v="95"/>
    <x v="0"/>
  </r>
  <r>
    <x v="423"/>
    <x v="340"/>
    <n v="2"/>
    <m/>
    <n v="1"/>
    <x v="5"/>
    <x v="0"/>
  </r>
  <r>
    <x v="424"/>
    <x v="341"/>
    <n v="3"/>
    <m/>
    <n v="1"/>
    <x v="32"/>
    <x v="0"/>
  </r>
  <r>
    <x v="425"/>
    <x v="342"/>
    <n v="2"/>
    <m/>
    <n v="1"/>
    <x v="36"/>
    <x v="0"/>
  </r>
  <r>
    <x v="426"/>
    <x v="343"/>
    <n v="3"/>
    <m/>
    <n v="1"/>
    <x v="56"/>
    <x v="0"/>
  </r>
  <r>
    <x v="427"/>
    <x v="344"/>
    <n v="2"/>
    <m/>
    <n v="1"/>
    <x v="31"/>
    <x v="0"/>
  </r>
  <r>
    <x v="375"/>
    <x v="307"/>
    <n v="5"/>
    <m/>
    <n v="1"/>
    <x v="25"/>
    <x v="0"/>
  </r>
  <r>
    <x v="428"/>
    <x v="19"/>
    <n v="2"/>
    <m/>
    <n v="1"/>
    <x v="100"/>
    <x v="0"/>
  </r>
  <r>
    <x v="429"/>
    <x v="345"/>
    <n v="2"/>
    <m/>
    <n v="1"/>
    <x v="96"/>
    <x v="0"/>
  </r>
  <r>
    <x v="430"/>
    <x v="346"/>
    <n v="2"/>
    <m/>
    <n v="1"/>
    <x v="6"/>
    <x v="0"/>
  </r>
  <r>
    <x v="431"/>
    <x v="19"/>
    <n v="2"/>
    <m/>
    <n v="1"/>
    <x v="62"/>
    <x v="0"/>
  </r>
  <r>
    <x v="432"/>
    <x v="347"/>
    <n v="2"/>
    <m/>
    <n v="1"/>
    <x v="93"/>
    <x v="0"/>
  </r>
  <r>
    <x v="433"/>
    <x v="19"/>
    <n v="2"/>
    <m/>
    <n v="1"/>
    <x v="83"/>
    <x v="0"/>
  </r>
  <r>
    <x v="317"/>
    <x v="257"/>
    <n v="2"/>
    <m/>
    <n v="1"/>
    <x v="95"/>
    <x v="0"/>
  </r>
  <r>
    <x v="434"/>
    <x v="348"/>
    <n v="3"/>
    <m/>
    <n v="1"/>
    <x v="30"/>
    <x v="0"/>
  </r>
  <r>
    <x v="435"/>
    <x v="349"/>
    <n v="2"/>
    <m/>
    <n v="1"/>
    <x v="63"/>
    <x v="0"/>
  </r>
  <r>
    <x v="436"/>
    <x v="19"/>
    <n v="2"/>
    <m/>
    <n v="1"/>
    <x v="100"/>
    <x v="0"/>
  </r>
  <r>
    <x v="437"/>
    <x v="350"/>
    <n v="3"/>
    <m/>
    <n v="1"/>
    <x v="10"/>
    <x v="0"/>
  </r>
  <r>
    <x v="438"/>
    <x v="351"/>
    <n v="3"/>
    <m/>
    <n v="1"/>
    <x v="21"/>
    <x v="0"/>
  </r>
  <r>
    <x v="439"/>
    <x v="352"/>
    <n v="3"/>
    <m/>
    <n v="2"/>
    <x v="23"/>
    <x v="4"/>
  </r>
  <r>
    <x v="440"/>
    <x v="19"/>
    <n v="2"/>
    <m/>
    <n v="1"/>
    <x v="81"/>
    <x v="0"/>
  </r>
  <r>
    <x v="441"/>
    <x v="19"/>
    <n v="3"/>
    <m/>
    <n v="1"/>
    <x v="9"/>
    <x v="0"/>
  </r>
  <r>
    <x v="442"/>
    <x v="353"/>
    <m/>
    <m/>
    <m/>
    <x v="1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2" cacheId="24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C8" firstHeaderRow="1" firstDataRow="2" firstDataCol="1"/>
  <pivotFields count="10">
    <pivotField showAll="0"/>
    <pivotField axis="axisRow" showAll="0">
      <items count="167">
        <item m="1" x="104"/>
        <item m="1" x="158"/>
        <item m="1" x="92"/>
        <item m="1" x="58"/>
        <item m="1" x="22"/>
        <item m="1" x="15"/>
        <item m="1" x="26"/>
        <item m="1" x="39"/>
        <item m="1" x="148"/>
        <item m="1" x="28"/>
        <item m="1" x="19"/>
        <item m="1" x="69"/>
        <item m="1" x="79"/>
        <item m="1" x="11"/>
        <item m="1" x="124"/>
        <item m="1" x="54"/>
        <item m="1" x="70"/>
        <item m="1" x="30"/>
        <item m="1" x="159"/>
        <item m="1" x="55"/>
        <item m="1" x="149"/>
        <item m="1" x="115"/>
        <item m="1" x="48"/>
        <item m="1" x="4"/>
        <item m="1" x="64"/>
        <item m="1" x="76"/>
        <item m="1" x="66"/>
        <item m="1" x="60"/>
        <item m="1" x="71"/>
        <item m="1" x="100"/>
        <item m="1" x="129"/>
        <item m="1" x="87"/>
        <item m="1" x="77"/>
        <item m="1" x="17"/>
        <item m="1" x="127"/>
        <item m="1" x="134"/>
        <item m="1" x="33"/>
        <item m="1" x="27"/>
        <item m="1" x="72"/>
        <item m="1" x="2"/>
        <item m="1" x="102"/>
        <item m="1" x="63"/>
        <item m="1" x="144"/>
        <item m="1" x="56"/>
        <item m="1" x="81"/>
        <item m="1" x="9"/>
        <item m="1" x="143"/>
        <item m="1" x="114"/>
        <item m="1" x="52"/>
        <item m="1" x="44"/>
        <item m="1" x="68"/>
        <item m="1" x="160"/>
        <item m="1" x="62"/>
        <item m="1" x="156"/>
        <item m="1" x="93"/>
        <item m="1" x="105"/>
        <item m="1" x="157"/>
        <item m="1" x="161"/>
        <item m="1" x="119"/>
        <item m="1" x="151"/>
        <item m="1" x="117"/>
        <item m="1" x="84"/>
        <item m="1" x="53"/>
        <item m="1" x="140"/>
        <item x="0"/>
        <item m="1" x="113"/>
        <item m="1" x="80"/>
        <item m="1" x="51"/>
        <item m="1" x="137"/>
        <item m="1" x="37"/>
        <item m="1" x="162"/>
        <item m="1" x="130"/>
        <item m="1" x="59"/>
        <item m="1" x="133"/>
        <item m="1" x="165"/>
        <item m="1" x="135"/>
        <item m="1" x="107"/>
        <item m="1" x="61"/>
        <item m="1" x="29"/>
        <item m="1" x="95"/>
        <item m="1" x="20"/>
        <item m="1" x="120"/>
        <item m="1" x="86"/>
        <item m="1" x="41"/>
        <item m="1" x="91"/>
        <item m="1" x="18"/>
        <item m="1" x="125"/>
        <item m="1" x="152"/>
        <item m="1" x="118"/>
        <item m="1" x="116"/>
        <item m="1" x="141"/>
        <item m="1" x="49"/>
        <item m="1" x="32"/>
        <item m="1" x="16"/>
        <item m="1" x="34"/>
        <item m="1" x="128"/>
        <item m="1" x="89"/>
        <item m="1" x="10"/>
        <item m="1" x="78"/>
        <item m="1" x="25"/>
        <item m="1" x="94"/>
        <item m="1" x="8"/>
        <item m="1" x="73"/>
        <item m="1" x="42"/>
        <item m="1" x="131"/>
        <item m="1" x="145"/>
        <item m="1" x="47"/>
        <item m="1" x="108"/>
        <item m="1" x="24"/>
        <item m="1" x="75"/>
        <item m="1" x="45"/>
        <item m="1" x="101"/>
        <item m="1" x="31"/>
        <item m="1" x="126"/>
        <item m="1" x="154"/>
        <item m="1" x="96"/>
        <item m="1" x="122"/>
        <item m="1" x="98"/>
        <item m="1" x="97"/>
        <item m="1" x="123"/>
        <item m="1" x="90"/>
        <item m="1" x="57"/>
        <item m="1" x="82"/>
        <item m="1" x="139"/>
        <item m="1" x="150"/>
        <item m="1" x="146"/>
        <item m="1" x="7"/>
        <item m="1" x="138"/>
        <item m="1" x="136"/>
        <item m="1" x="35"/>
        <item m="1" x="132"/>
        <item m="1" x="106"/>
        <item m="1" x="67"/>
        <item m="1" x="38"/>
        <item m="1" x="163"/>
        <item m="1" x="103"/>
        <item m="1" x="65"/>
        <item m="1" x="36"/>
        <item m="1" x="85"/>
        <item m="1" x="50"/>
        <item m="1" x="83"/>
        <item m="1" x="12"/>
        <item m="1" x="40"/>
        <item m="1" x="6"/>
        <item m="1" x="5"/>
        <item m="1" x="155"/>
        <item m="1" x="46"/>
        <item m="1" x="164"/>
        <item m="1" x="109"/>
        <item m="1" x="142"/>
        <item m="1" x="14"/>
        <item m="1" x="88"/>
        <item m="1" x="111"/>
        <item m="1" x="99"/>
        <item m="1" x="23"/>
        <item m="1" x="153"/>
        <item m="1" x="74"/>
        <item m="1" x="43"/>
        <item m="1" x="110"/>
        <item m="1" x="121"/>
        <item m="1" x="13"/>
        <item m="1" x="147"/>
        <item m="1" x="112"/>
        <item m="1" x="21"/>
        <item m="1" x="1"/>
        <item m="1" x="3"/>
        <item t="default"/>
      </items>
    </pivotField>
    <pivotField showAll="0"/>
    <pivotField axis="axisRow" showAll="0">
      <items count="69">
        <item m="1" x="44"/>
        <item m="1" x="57"/>
        <item m="1" x="31"/>
        <item m="1" x="58"/>
        <item m="1" x="60"/>
        <item m="1" x="59"/>
        <item m="1" x="16"/>
        <item m="1" x="19"/>
        <item x="0"/>
        <item m="1" x="46"/>
        <item m="1" x="6"/>
        <item m="1" x="7"/>
        <item m="1" x="47"/>
        <item m="1" x="35"/>
        <item m="1" x="23"/>
        <item m="1" x="37"/>
        <item m="1" x="48"/>
        <item m="1" x="63"/>
        <item m="1" x="4"/>
        <item m="1" x="13"/>
        <item m="1" x="26"/>
        <item m="1" x="51"/>
        <item m="1" x="65"/>
        <item m="1" x="24"/>
        <item m="1" x="38"/>
        <item m="1" x="49"/>
        <item m="1" x="64"/>
        <item m="1" x="5"/>
        <item m="1" x="14"/>
        <item m="1" x="27"/>
        <item m="1" x="40"/>
        <item m="1" x="52"/>
        <item m="1" x="66"/>
        <item m="1" x="41"/>
        <item m="1" x="53"/>
        <item m="1" x="67"/>
        <item m="1" x="10"/>
        <item m="1" x="56"/>
        <item m="1" x="43"/>
        <item m="1" x="29"/>
        <item m="1" x="32"/>
        <item m="1" x="33"/>
        <item m="1" x="21"/>
        <item m="1" x="42"/>
        <item m="1" x="30"/>
        <item m="1" x="9"/>
        <item m="1" x="61"/>
        <item m="1" x="54"/>
        <item m="1" x="2"/>
        <item m="1" x="36"/>
        <item m="1" x="15"/>
        <item m="1" x="55"/>
        <item m="1" x="34"/>
        <item m="1" x="50"/>
        <item m="1" x="1"/>
        <item m="1" x="11"/>
        <item m="1" x="39"/>
        <item m="1" x="22"/>
        <item m="1" x="45"/>
        <item m="1" x="8"/>
        <item m="1" x="18"/>
        <item m="1" x="28"/>
        <item m="1" x="25"/>
        <item m="1" x="12"/>
        <item m="1" x="62"/>
        <item m="1" x="3"/>
        <item m="1" x="17"/>
        <item m="1" x="20"/>
        <item t="default"/>
      </items>
    </pivotField>
    <pivotField axis="axisRow" showAll="0">
      <items count="166">
        <item m="1" x="23"/>
        <item m="1" x="145"/>
        <item m="1" x="8"/>
        <item m="1" x="141"/>
        <item m="1" x="123"/>
        <item m="1" x="57"/>
        <item m="1" x="124"/>
        <item m="1" x="5"/>
        <item m="1" x="119"/>
        <item m="1" x="104"/>
        <item m="1" x="92"/>
        <item m="1" x="132"/>
        <item m="1" x="131"/>
        <item m="1" x="120"/>
        <item m="1" x="137"/>
        <item m="1" x="40"/>
        <item m="1" x="158"/>
        <item m="1" x="146"/>
        <item m="1" x="109"/>
        <item m="1" x="89"/>
        <item m="1" x="95"/>
        <item m="1" x="77"/>
        <item m="1" x="136"/>
        <item m="1" x="45"/>
        <item m="1" x="18"/>
        <item m="1" x="11"/>
        <item m="1" x="90"/>
        <item m="1" x="139"/>
        <item m="1" x="97"/>
        <item m="1" x="140"/>
        <item m="1" x="99"/>
        <item m="1" x="161"/>
        <item m="1" x="4"/>
        <item m="1" x="100"/>
        <item m="1" x="80"/>
        <item m="1" x="51"/>
        <item m="1" x="121"/>
        <item m="1" x="22"/>
        <item m="1" x="52"/>
        <item m="1" x="67"/>
        <item m="1" x="150"/>
        <item m="1" x="152"/>
        <item m="1" x="63"/>
        <item m="1" x="15"/>
        <item m="1" x="62"/>
        <item m="1" x="118"/>
        <item m="1" x="164"/>
        <item m="1" x="87"/>
        <item m="1" x="88"/>
        <item m="1" x="36"/>
        <item m="1" x="96"/>
        <item m="1" x="19"/>
        <item m="1" x="151"/>
        <item m="1" x="20"/>
        <item m="1" x="16"/>
        <item m="1" x="49"/>
        <item m="1" x="144"/>
        <item m="1" x="2"/>
        <item m="1" x="53"/>
        <item m="1" x="154"/>
        <item m="1" x="24"/>
        <item m="1" x="73"/>
        <item m="1" x="160"/>
        <item m="1" x="10"/>
        <item m="1" x="76"/>
        <item m="1" x="129"/>
        <item m="1" x="34"/>
        <item m="1" x="147"/>
        <item m="1" x="26"/>
        <item m="1" x="33"/>
        <item m="1" x="117"/>
        <item m="1" x="155"/>
        <item m="1" x="81"/>
        <item m="1" x="75"/>
        <item m="1" x="28"/>
        <item m="1" x="113"/>
        <item m="1" x="98"/>
        <item m="1" x="7"/>
        <item m="1" x="125"/>
        <item m="1" x="43"/>
        <item m="1" x="61"/>
        <item m="1" x="64"/>
        <item m="1" x="38"/>
        <item m="1" x="156"/>
        <item m="1" x="65"/>
        <item m="1" x="74"/>
        <item m="1" x="69"/>
        <item m="1" x="79"/>
        <item m="1" x="44"/>
        <item m="1" x="42"/>
        <item x="0"/>
        <item m="1" x="153"/>
        <item m="1" x="17"/>
        <item m="1" x="112"/>
        <item m="1" x="127"/>
        <item m="1" x="130"/>
        <item m="1" x="47"/>
        <item m="1" x="114"/>
        <item m="1" x="13"/>
        <item m="1" x="59"/>
        <item m="1" x="46"/>
        <item m="1" x="39"/>
        <item m="1" x="110"/>
        <item m="1" x="157"/>
        <item m="1" x="66"/>
        <item m="1" x="115"/>
        <item m="1" x="21"/>
        <item m="1" x="68"/>
        <item m="1" x="25"/>
        <item m="1" x="71"/>
        <item m="1" x="70"/>
        <item m="1" x="94"/>
        <item m="1" x="31"/>
        <item m="1" x="103"/>
        <item m="1" x="14"/>
        <item m="1" x="86"/>
        <item m="1" x="72"/>
        <item m="1" x="101"/>
        <item m="1" x="32"/>
        <item m="1" x="3"/>
        <item m="1" x="56"/>
        <item m="1" x="54"/>
        <item m="1" x="93"/>
        <item m="1" x="9"/>
        <item m="1" x="82"/>
        <item m="1" x="159"/>
        <item m="1" x="163"/>
        <item m="1" x="134"/>
        <item m="1" x="29"/>
        <item m="1" x="27"/>
        <item m="1" x="91"/>
        <item m="1" x="122"/>
        <item m="1" x="138"/>
        <item m="1" x="105"/>
        <item m="1" x="107"/>
        <item m="1" x="55"/>
        <item m="1" x="162"/>
        <item m="1" x="111"/>
        <item m="1" x="142"/>
        <item m="1" x="106"/>
        <item m="1" x="41"/>
        <item m="1" x="35"/>
        <item m="1" x="84"/>
        <item m="1" x="12"/>
        <item m="1" x="143"/>
        <item m="1" x="149"/>
        <item m="1" x="30"/>
        <item m="1" x="37"/>
        <item m="1" x="48"/>
        <item m="1" x="116"/>
        <item m="1" x="108"/>
        <item m="1" x="126"/>
        <item m="1" x="133"/>
        <item m="1" x="50"/>
        <item m="1" x="6"/>
        <item m="1" x="58"/>
        <item m="1" x="102"/>
        <item m="1" x="135"/>
        <item m="1" x="83"/>
        <item m="1" x="60"/>
        <item m="1" x="78"/>
        <item m="1" x="148"/>
        <item m="1" x="128"/>
        <item m="1" x="1"/>
        <item m="1" x="85"/>
        <item t="default"/>
      </items>
    </pivotField>
    <pivotField dataField="1" showAll="0"/>
    <pivotField showAll="0"/>
    <pivotField showAll="0"/>
    <pivotField dataField="1" showAll="0"/>
    <pivotField showAll="0"/>
  </pivotFields>
  <rowFields count="3">
    <field x="4"/>
    <field x="1"/>
    <field x="3"/>
  </rowFields>
  <rowItems count="4">
    <i>
      <x v="90"/>
    </i>
    <i r="1">
      <x v="64"/>
    </i>
    <i r="2"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 Qté" fld="5" baseField="0" baseItem="0"/>
    <dataField name="Prix" fld="8" baseField="0" baseItem="0" numFmtId="165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2" cacheId="42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 fieldListSortAscending="1">
  <location ref="A3:C98" firstHeaderRow="1" firstDataRow="2" firstDataCol="1" rowPageCount="1" colPageCount="1"/>
  <pivotFields count="7">
    <pivotField axis="axisRow" showAll="0">
      <items count="447">
        <item x="21"/>
        <item x="129"/>
        <item x="409"/>
        <item x="127"/>
        <item x="297"/>
        <item x="241"/>
        <item x="411"/>
        <item x="238"/>
        <item x="143"/>
        <item x="245"/>
        <item x="356"/>
        <item x="412"/>
        <item x="293"/>
        <item x="236"/>
        <item x="15"/>
        <item x="346"/>
        <item x="125"/>
        <item x="17"/>
        <item x="307"/>
        <item x="310"/>
        <item x="366"/>
        <item x="72"/>
        <item x="369"/>
        <item x="74"/>
        <item x="39"/>
        <item x="75"/>
        <item x="40"/>
        <item x="375"/>
        <item x="81"/>
        <item x="153"/>
        <item x="82"/>
        <item x="157"/>
        <item x="318"/>
        <item x="383"/>
        <item x="97"/>
        <item x="385"/>
        <item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3"/>
        <item x="76"/>
        <item x="77"/>
        <item x="78"/>
        <item x="79"/>
        <item x="80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6"/>
        <item x="128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4"/>
        <item x="145"/>
        <item x="146"/>
        <item x="147"/>
        <item x="148"/>
        <item x="149"/>
        <item x="150"/>
        <item x="151"/>
        <item x="152"/>
        <item x="154"/>
        <item x="155"/>
        <item x="156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7"/>
        <item x="239"/>
        <item x="240"/>
        <item x="242"/>
        <item x="243"/>
        <item x="244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4"/>
        <item x="295"/>
        <item x="296"/>
        <item x="298"/>
        <item x="299"/>
        <item x="300"/>
        <item x="301"/>
        <item x="302"/>
        <item x="303"/>
        <item x="304"/>
        <item x="305"/>
        <item x="306"/>
        <item x="308"/>
        <item x="309"/>
        <item x="311"/>
        <item x="312"/>
        <item x="313"/>
        <item x="314"/>
        <item x="315"/>
        <item x="316"/>
        <item x="317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7"/>
        <item x="348"/>
        <item x="349"/>
        <item x="350"/>
        <item x="351"/>
        <item x="352"/>
        <item x="353"/>
        <item x="354"/>
        <item x="355"/>
        <item x="357"/>
        <item x="358"/>
        <item x="359"/>
        <item x="360"/>
        <item x="361"/>
        <item x="362"/>
        <item x="363"/>
        <item x="364"/>
        <item x="365"/>
        <item x="367"/>
        <item x="368"/>
        <item x="370"/>
        <item x="371"/>
        <item x="372"/>
        <item x="373"/>
        <item x="374"/>
        <item x="376"/>
        <item x="377"/>
        <item x="378"/>
        <item x="379"/>
        <item x="380"/>
        <item x="381"/>
        <item x="382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10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m="1" x="443"/>
        <item m="1" x="445"/>
        <item m="1" x="444"/>
        <item t="default"/>
      </items>
    </pivotField>
    <pivotField axis="axisPage" dataField="1" multipleItemSelectionAllowed="1" showAll="0">
      <items count="355">
        <item h="1" x="114"/>
        <item h="1" x="291"/>
        <item h="1" x="353"/>
        <item h="1" x="20"/>
        <item h="1" x="22"/>
        <item h="1" x="25"/>
        <item h="1" x="26"/>
        <item h="1" x="51"/>
        <item h="1" x="52"/>
        <item h="1" x="57"/>
        <item h="1" x="58"/>
        <item h="1" x="59"/>
        <item h="1" x="62"/>
        <item h="1" x="94"/>
        <item h="1" x="98"/>
        <item h="1" x="113"/>
        <item h="1" x="115"/>
        <item h="1" x="116"/>
        <item h="1" x="117"/>
        <item h="1" x="122"/>
        <item h="1" x="123"/>
        <item h="1" x="125"/>
        <item h="1" x="126"/>
        <item h="1" x="157"/>
        <item h="1" x="158"/>
        <item h="1" x="161"/>
        <item h="1" x="162"/>
        <item h="1" x="163"/>
        <item h="1" x="195"/>
        <item h="1" x="198"/>
        <item h="1" x="199"/>
        <item h="1" x="200"/>
        <item h="1" x="201"/>
        <item h="1" x="203"/>
        <item h="1" x="242"/>
        <item h="1" x="246"/>
        <item h="1" x="287"/>
        <item h="1" x="288"/>
        <item h="1" x="289"/>
        <item h="1" x="290"/>
        <item h="1" x="292"/>
        <item h="1" x="293"/>
        <item h="1" x="294"/>
        <item h="1" x="302"/>
        <item h="1" x="322"/>
        <item h="1" x="330"/>
        <item h="1" x="331"/>
        <item h="1" x="335"/>
        <item h="1" x="352"/>
        <item h="1" x="0"/>
        <item h="1" x="1"/>
        <item h="1" x="2"/>
        <item h="1" x="3"/>
        <item h="1" x="4"/>
        <item h="1" x="5"/>
        <item h="1" x="7"/>
        <item h="1" x="8"/>
        <item h="1" x="9"/>
        <item h="1" x="11"/>
        <item h="1" x="12"/>
        <item h="1" x="13"/>
        <item h="1" x="16"/>
        <item h="1" x="17"/>
        <item h="1" x="21"/>
        <item h="1" x="24"/>
        <item h="1" x="27"/>
        <item h="1" x="28"/>
        <item h="1" x="29"/>
        <item h="1" x="30"/>
        <item h="1" x="31"/>
        <item h="1" x="32"/>
        <item h="1" x="34"/>
        <item h="1" x="35"/>
        <item h="1" x="36"/>
        <item h="1" x="38"/>
        <item h="1" x="39"/>
        <item h="1" x="40"/>
        <item h="1" x="41"/>
        <item h="1" x="42"/>
        <item h="1" x="43"/>
        <item h="1" x="44"/>
        <item h="1" x="46"/>
        <item h="1" x="48"/>
        <item h="1" x="53"/>
        <item h="1" x="60"/>
        <item h="1" x="61"/>
        <item h="1" x="63"/>
        <item h="1" x="64"/>
        <item h="1" x="66"/>
        <item h="1" x="67"/>
        <item h="1" x="68"/>
        <item h="1" x="70"/>
        <item h="1" x="71"/>
        <item h="1" x="72"/>
        <item h="1" x="78"/>
        <item h="1" x="79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5"/>
        <item h="1" x="96"/>
        <item h="1" x="97"/>
        <item h="1" x="103"/>
        <item h="1" x="105"/>
        <item h="1" x="106"/>
        <item h="1" x="107"/>
        <item h="1" x="108"/>
        <item h="1" x="110"/>
        <item h="1" x="111"/>
        <item h="1" x="112"/>
        <item h="1" x="119"/>
        <item h="1" x="120"/>
        <item h="1" x="121"/>
        <item h="1" x="124"/>
        <item h="1" x="127"/>
        <item h="1" x="128"/>
        <item h="1" x="130"/>
        <item h="1" x="133"/>
        <item h="1" x="134"/>
        <item h="1" x="136"/>
        <item h="1" x="138"/>
        <item h="1" x="139"/>
        <item h="1" x="141"/>
        <item h="1" x="142"/>
        <item h="1" x="143"/>
        <item h="1" x="144"/>
        <item h="1" x="145"/>
        <item h="1" x="146"/>
        <item h="1" x="152"/>
        <item h="1" x="153"/>
        <item h="1" x="154"/>
        <item h="1" x="155"/>
        <item h="1" x="165"/>
        <item h="1" x="166"/>
        <item h="1" x="167"/>
        <item h="1" x="168"/>
        <item h="1" x="171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4"/>
        <item h="1" x="185"/>
        <item h="1" x="194"/>
        <item h="1" x="197"/>
        <item h="1" x="202"/>
        <item h="1" x="204"/>
        <item h="1" x="205"/>
        <item h="1" x="206"/>
        <item h="1" x="209"/>
        <item h="1" x="211"/>
        <item h="1" x="212"/>
        <item h="1" x="216"/>
        <item h="1" x="218"/>
        <item h="1" x="219"/>
        <item h="1" x="220"/>
        <item h="1" x="221"/>
        <item h="1" x="222"/>
        <item h="1" x="225"/>
        <item h="1" x="226"/>
        <item h="1" x="231"/>
        <item h="1" x="232"/>
        <item h="1" x="233"/>
        <item h="1" x="235"/>
        <item h="1" x="236"/>
        <item h="1" x="238"/>
        <item h="1" x="240"/>
        <item h="1" x="243"/>
        <item h="1" x="244"/>
        <item h="1" x="245"/>
        <item h="1" x="247"/>
        <item h="1" x="248"/>
        <item h="1" x="249"/>
        <item h="1" x="250"/>
        <item h="1" x="252"/>
        <item h="1" x="253"/>
        <item h="1" x="254"/>
        <item h="1" x="255"/>
        <item h="1" x="256"/>
        <item h="1" x="257"/>
        <item h="1" x="258"/>
        <item h="1" x="259"/>
        <item h="1" x="264"/>
        <item h="1" x="265"/>
        <item h="1" x="266"/>
        <item h="1" x="267"/>
        <item h="1" x="268"/>
        <item h="1" x="272"/>
        <item h="1" x="273"/>
        <item h="1" x="277"/>
        <item h="1" x="279"/>
        <item h="1" x="280"/>
        <item h="1" x="281"/>
        <item h="1" x="282"/>
        <item h="1" x="285"/>
        <item h="1" x="286"/>
        <item h="1" x="295"/>
        <item h="1" x="296"/>
        <item h="1" x="297"/>
        <item h="1" x="298"/>
        <item h="1" x="299"/>
        <item h="1" x="300"/>
        <item h="1" x="303"/>
        <item h="1" x="304"/>
        <item h="1" x="305"/>
        <item h="1" x="306"/>
        <item h="1" x="307"/>
        <item h="1" x="310"/>
        <item h="1" x="311"/>
        <item h="1" x="312"/>
        <item h="1" x="314"/>
        <item h="1" x="315"/>
        <item h="1" x="316"/>
        <item h="1" x="317"/>
        <item h="1" x="319"/>
        <item h="1" x="320"/>
        <item h="1" x="326"/>
        <item h="1" x="328"/>
        <item h="1" x="333"/>
        <item h="1" x="334"/>
        <item h="1" x="336"/>
        <item h="1" x="337"/>
        <item h="1" x="338"/>
        <item h="1" x="339"/>
        <item h="1" x="340"/>
        <item h="1" x="341"/>
        <item h="1" x="343"/>
        <item h="1" x="348"/>
        <item h="1" x="351"/>
        <item h="1" x="6"/>
        <item h="1" x="10"/>
        <item h="1" x="18"/>
        <item h="1" x="49"/>
        <item h="1" x="69"/>
        <item h="1" x="75"/>
        <item h="1" x="81"/>
        <item h="1" x="99"/>
        <item h="1" x="100"/>
        <item h="1" x="109"/>
        <item h="1" x="132"/>
        <item h="1" x="140"/>
        <item h="1" x="148"/>
        <item h="1" x="164"/>
        <item h="1" x="169"/>
        <item h="1" x="187"/>
        <item h="1" x="188"/>
        <item h="1" x="189"/>
        <item h="1" x="190"/>
        <item h="1" x="192"/>
        <item h="1" x="208"/>
        <item h="1" x="210"/>
        <item h="1" x="214"/>
        <item h="1" x="215"/>
        <item h="1" x="230"/>
        <item h="1" x="239"/>
        <item h="1" x="241"/>
        <item h="1" x="251"/>
        <item h="1" x="260"/>
        <item h="1" x="271"/>
        <item h="1" x="275"/>
        <item h="1" x="276"/>
        <item h="1" x="301"/>
        <item h="1" x="309"/>
        <item h="1" x="313"/>
        <item h="1" x="323"/>
        <item h="1" x="327"/>
        <item h="1" x="346"/>
        <item h="1" x="347"/>
        <item h="1" x="349"/>
        <item h="1" x="350"/>
        <item h="1" x="14"/>
        <item h="1" x="23"/>
        <item h="1" x="33"/>
        <item h="1" x="37"/>
        <item h="1" x="45"/>
        <item h="1" x="47"/>
        <item h="1" x="50"/>
        <item h="1" x="54"/>
        <item h="1" x="55"/>
        <item h="1" x="56"/>
        <item h="1" x="65"/>
        <item h="1" x="73"/>
        <item h="1" x="74"/>
        <item h="1" x="76"/>
        <item h="1" x="77"/>
        <item h="1" x="80"/>
        <item h="1" x="101"/>
        <item h="1" x="102"/>
        <item h="1" x="104"/>
        <item h="1" x="118"/>
        <item h="1" x="129"/>
        <item h="1" x="131"/>
        <item h="1" x="135"/>
        <item h="1" x="137"/>
        <item h="1" x="147"/>
        <item h="1" x="149"/>
        <item h="1" x="150"/>
        <item h="1" x="151"/>
        <item h="1" x="156"/>
        <item h="1" x="159"/>
        <item h="1" x="160"/>
        <item h="1" x="170"/>
        <item h="1" x="172"/>
        <item h="1" x="182"/>
        <item h="1" x="183"/>
        <item h="1" x="186"/>
        <item h="1" x="191"/>
        <item h="1" x="193"/>
        <item h="1" x="196"/>
        <item h="1" x="207"/>
        <item h="1" x="213"/>
        <item h="1" x="217"/>
        <item h="1" x="223"/>
        <item h="1" x="224"/>
        <item h="1" x="227"/>
        <item h="1" x="228"/>
        <item h="1" x="229"/>
        <item h="1" x="234"/>
        <item h="1" x="237"/>
        <item h="1" x="261"/>
        <item h="1" x="262"/>
        <item h="1" x="263"/>
        <item h="1" x="269"/>
        <item h="1" x="270"/>
        <item h="1" x="274"/>
        <item h="1" x="278"/>
        <item h="1" x="283"/>
        <item h="1" x="284"/>
        <item h="1" x="308"/>
        <item h="1" x="318"/>
        <item h="1" x="321"/>
        <item h="1" x="324"/>
        <item h="1" x="325"/>
        <item h="1" x="329"/>
        <item h="1" x="332"/>
        <item h="1" x="342"/>
        <item h="1" x="344"/>
        <item h="1" x="345"/>
        <item x="15"/>
        <item x="19"/>
        <item t="default"/>
      </items>
    </pivotField>
    <pivotField showAll="0"/>
    <pivotField showAll="0"/>
    <pivotField dataField="1" showAll="0"/>
    <pivotField axis="axisRow" showAll="0">
      <items count="102">
        <item x="19"/>
        <item x="65"/>
        <item x="20"/>
        <item x="21"/>
        <item x="24"/>
        <item sd="0" x="22"/>
        <item sd="0" x="39"/>
        <item x="41"/>
        <item x="66"/>
        <item x="9"/>
        <item x="18"/>
        <item x="37"/>
        <item sd="0" x="25"/>
        <item x="7"/>
        <item x="44"/>
        <item x="49"/>
        <item x="0"/>
        <item x="57"/>
        <item x="45"/>
        <item sd="0" x="98"/>
        <item x="92"/>
        <item x="8"/>
        <item x="30"/>
        <item sd="0" x="17"/>
        <item x="64"/>
        <item x="15"/>
        <item x="27"/>
        <item x="14"/>
        <item sd="0" x="1"/>
        <item sd="0" x="2"/>
        <item x="3"/>
        <item x="4"/>
        <item x="5"/>
        <item x="6"/>
        <item x="10"/>
        <item x="11"/>
        <item x="12"/>
        <item sd="0" x="13"/>
        <item x="16"/>
        <item x="23"/>
        <item sd="0" x="26"/>
        <item sd="0" x="28"/>
        <item x="29"/>
        <item sd="0" x="31"/>
        <item x="32"/>
        <item x="33"/>
        <item sd="0" x="34"/>
        <item x="35"/>
        <item sd="0" x="36"/>
        <item sd="0" x="38"/>
        <item x="40"/>
        <item x="42"/>
        <item sd="0" x="43"/>
        <item x="46"/>
        <item sd="0" x="47"/>
        <item sd="0" x="48"/>
        <item sd="0" x="50"/>
        <item sd="0" x="51"/>
        <item sd="0" x="52"/>
        <item sd="0" x="53"/>
        <item sd="0" x="54"/>
        <item x="55"/>
        <item x="56"/>
        <item x="58"/>
        <item x="59"/>
        <item sd="0" x="60"/>
        <item sd="0" x="61"/>
        <item sd="0" x="62"/>
        <item x="63"/>
        <item x="67"/>
        <item sd="0" x="68"/>
        <item sd="0" x="69"/>
        <item x="70"/>
        <item sd="0" x="71"/>
        <item x="72"/>
        <item x="73"/>
        <item sd="0" x="74"/>
        <item sd="0" x="75"/>
        <item sd="0" x="76"/>
        <item sd="0" x="77"/>
        <item x="78"/>
        <item x="79"/>
        <item sd="0" x="80"/>
        <item sd="0" x="81"/>
        <item x="82"/>
        <item x="83"/>
        <item x="84"/>
        <item x="85"/>
        <item x="86"/>
        <item x="87"/>
        <item x="88"/>
        <item x="89"/>
        <item sd="0" x="90"/>
        <item x="91"/>
        <item x="93"/>
        <item x="94"/>
        <item x="95"/>
        <item sd="0" x="96"/>
        <item x="97"/>
        <item x="99"/>
        <item x="100"/>
        <item t="default"/>
      </items>
    </pivotField>
    <pivotField axis="axisRow" showAll="0">
      <items count="6">
        <item x="4"/>
        <item x="0"/>
        <item x="3"/>
        <item x="2"/>
        <item x="1"/>
        <item t="default"/>
      </items>
    </pivotField>
  </pivotFields>
  <rowFields count="3">
    <field x="6"/>
    <field x="5"/>
    <field x="0"/>
  </rowFields>
  <rowItems count="94">
    <i>
      <x v="1"/>
    </i>
    <i r="1">
      <x v="6"/>
    </i>
    <i r="1">
      <x v="9"/>
    </i>
    <i r="2">
      <x v="197"/>
    </i>
    <i r="2">
      <x v="442"/>
    </i>
    <i r="1">
      <x v="12"/>
    </i>
    <i r="1">
      <x v="19"/>
    </i>
    <i r="1">
      <x v="23"/>
    </i>
    <i r="1">
      <x v="28"/>
    </i>
    <i r="1">
      <x v="29"/>
    </i>
    <i r="1">
      <x v="40"/>
    </i>
    <i r="1">
      <x v="54"/>
    </i>
    <i r="1">
      <x v="55"/>
    </i>
    <i r="1">
      <x v="60"/>
    </i>
    <i r="1">
      <x v="66"/>
    </i>
    <i r="1">
      <x v="67"/>
    </i>
    <i r="1">
      <x v="76"/>
    </i>
    <i r="1">
      <x v="78"/>
    </i>
    <i r="1">
      <x v="83"/>
    </i>
    <i r="1">
      <x v="85"/>
    </i>
    <i r="2">
      <x v="232"/>
    </i>
    <i r="2">
      <x v="233"/>
    </i>
    <i r="2">
      <x v="273"/>
    </i>
    <i r="2">
      <x v="389"/>
    </i>
    <i r="2">
      <x v="434"/>
    </i>
    <i r="1">
      <x v="86"/>
    </i>
    <i r="2">
      <x v="240"/>
    </i>
    <i r="2">
      <x v="241"/>
    </i>
    <i r="2">
      <x v="242"/>
    </i>
    <i r="2">
      <x v="401"/>
    </i>
    <i r="2">
      <x v="402"/>
    </i>
    <i r="1">
      <x v="91"/>
    </i>
    <i r="2">
      <x v="260"/>
    </i>
    <i r="2">
      <x v="330"/>
    </i>
    <i r="1">
      <x v="93"/>
    </i>
    <i r="2">
      <x v="276"/>
    </i>
    <i r="2">
      <x v="284"/>
    </i>
    <i r="1">
      <x v="95"/>
    </i>
    <i r="2">
      <x v="319"/>
    </i>
    <i r="2">
      <x v="416"/>
    </i>
    <i r="2">
      <x v="419"/>
    </i>
    <i r="1">
      <x v="98"/>
    </i>
    <i r="2">
      <x v="335"/>
    </i>
    <i r="1">
      <x v="100"/>
    </i>
    <i r="2">
      <x v="429"/>
    </i>
    <i r="2">
      <x v="437"/>
    </i>
    <i>
      <x v="2"/>
    </i>
    <i r="1">
      <x v="1"/>
    </i>
    <i r="2">
      <x v="2"/>
    </i>
    <i r="1">
      <x v="2"/>
    </i>
    <i r="2">
      <x v="4"/>
    </i>
    <i r="2">
      <x v="56"/>
    </i>
    <i r="2">
      <x v="210"/>
    </i>
    <i r="2">
      <x v="366"/>
    </i>
    <i r="2">
      <x v="417"/>
    </i>
    <i r="1">
      <x v="3"/>
    </i>
    <i r="2">
      <x v="6"/>
    </i>
    <i r="2">
      <x v="57"/>
    </i>
    <i r="2">
      <x v="164"/>
    </i>
    <i r="2">
      <x v="212"/>
    </i>
    <i r="2">
      <x v="312"/>
    </i>
    <i r="1">
      <x v="39"/>
    </i>
    <i r="2">
      <x v="59"/>
    </i>
    <i r="2">
      <x v="208"/>
    </i>
    <i>
      <x v="3"/>
    </i>
    <i r="1">
      <x/>
    </i>
    <i r="2">
      <x v="258"/>
    </i>
    <i r="1">
      <x v="2"/>
    </i>
    <i r="2">
      <x v="62"/>
    </i>
    <i r="1">
      <x v="4"/>
    </i>
    <i r="2">
      <x v="5"/>
    </i>
    <i>
      <x v="4"/>
    </i>
    <i r="1">
      <x v="27"/>
    </i>
    <i r="2">
      <x v="14"/>
    </i>
    <i r="2">
      <x v="19"/>
    </i>
    <i r="2">
      <x v="75"/>
    </i>
    <i r="2">
      <x v="103"/>
    </i>
    <i r="2">
      <x v="149"/>
    </i>
    <i r="2">
      <x v="171"/>
    </i>
    <i r="2">
      <x v="179"/>
    </i>
    <i r="2">
      <x v="182"/>
    </i>
    <i r="2">
      <x v="249"/>
    </i>
    <i r="2">
      <x v="251"/>
    </i>
    <i r="2">
      <x v="266"/>
    </i>
    <i r="2">
      <x v="267"/>
    </i>
    <i r="2">
      <x v="308"/>
    </i>
    <i r="2">
      <x v="322"/>
    </i>
    <i r="2">
      <x v="336"/>
    </i>
    <i r="2">
      <x v="350"/>
    </i>
    <i r="2">
      <x v="351"/>
    </i>
    <i r="2">
      <x v="373"/>
    </i>
    <i r="2">
      <x v="404"/>
    </i>
    <i r="2">
      <x v="407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omme sur Vu" fld="4" baseField="0" baseItem="0"/>
    <dataField name="Somme sur Code Barre" fld="1" baseField="0" baseItem="0" numFmtId="1"/>
  </dataFields>
  <formats count="4">
    <format dxfId="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6">
      <pivotArea type="topRight" dataOnly="0" labelOnly="1" outline="0" fieldPosition="0"/>
    </format>
    <format dxfId="8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4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/>
  <dimension ref="A3:B18"/>
  <sheetViews>
    <sheetView workbookViewId="0">
      <selection activeCell="B19" sqref="B19"/>
    </sheetView>
  </sheetViews>
  <sheetFormatPr baseColWidth="10" defaultRowHeight="18" x14ac:dyDescent="0"/>
  <cols>
    <col min="1" max="1" width="10.83203125" style="18"/>
  </cols>
  <sheetData>
    <row r="3" spans="1:2">
      <c r="A3" s="18" t="s">
        <v>375</v>
      </c>
    </row>
    <row r="4" spans="1:2">
      <c r="B4" t="s">
        <v>376</v>
      </c>
    </row>
    <row r="5" spans="1:2">
      <c r="B5" t="s">
        <v>377</v>
      </c>
    </row>
    <row r="7" spans="1:2">
      <c r="A7" s="18" t="s">
        <v>378</v>
      </c>
    </row>
    <row r="8" spans="1:2">
      <c r="B8" t="s">
        <v>379</v>
      </c>
    </row>
    <row r="9" spans="1:2">
      <c r="B9" t="s">
        <v>380</v>
      </c>
    </row>
    <row r="11" spans="1:2">
      <c r="B11" t="s">
        <v>381</v>
      </c>
    </row>
    <row r="12" spans="1:2">
      <c r="B12" t="s">
        <v>382</v>
      </c>
    </row>
    <row r="13" spans="1:2">
      <c r="B13" t="s">
        <v>383</v>
      </c>
    </row>
    <row r="15" spans="1:2">
      <c r="A15" s="18" t="s">
        <v>384</v>
      </c>
    </row>
    <row r="16" spans="1:2">
      <c r="B16" t="s">
        <v>386</v>
      </c>
    </row>
    <row r="17" spans="2:2">
      <c r="B17" t="s">
        <v>385</v>
      </c>
    </row>
    <row r="18" spans="2:2">
      <c r="B18" t="s">
        <v>387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>
    <pageSetUpPr fitToPage="1"/>
  </sheetPr>
  <dimension ref="A2:C8"/>
  <sheetViews>
    <sheetView topLeftCell="A150" workbookViewId="0">
      <selection activeCell="E167" sqref="E167"/>
    </sheetView>
  </sheetViews>
  <sheetFormatPr baseColWidth="10" defaultRowHeight="14" x14ac:dyDescent="0"/>
  <cols>
    <col min="1" max="1" width="54.83203125" customWidth="1"/>
    <col min="2" max="3" width="6.83203125" customWidth="1"/>
    <col min="4" max="4" width="47.5" customWidth="1"/>
    <col min="5" max="5" width="42.1640625" customWidth="1"/>
    <col min="6" max="6" width="40.6640625" customWidth="1"/>
    <col min="7" max="7" width="39.6640625" customWidth="1"/>
    <col min="8" max="8" width="78.83203125" customWidth="1"/>
    <col min="9" max="9" width="43.1640625" customWidth="1"/>
    <col min="10" max="10" width="30.5" customWidth="1"/>
    <col min="11" max="11" width="37.6640625" customWidth="1"/>
    <col min="12" max="12" width="56.1640625" customWidth="1"/>
    <col min="13" max="13" width="39.6640625" customWidth="1"/>
    <col min="14" max="14" width="63.33203125" customWidth="1"/>
    <col min="15" max="15" width="30.83203125" customWidth="1"/>
    <col min="16" max="16" width="54.6640625" customWidth="1"/>
    <col min="17" max="17" width="45.33203125" customWidth="1"/>
    <col min="18" max="18" width="26.83203125" customWidth="1"/>
    <col min="19" max="19" width="41.5" customWidth="1"/>
    <col min="20" max="20" width="43.1640625" customWidth="1"/>
    <col min="21" max="21" width="41.6640625" customWidth="1"/>
    <col min="22" max="22" width="43.33203125" customWidth="1"/>
    <col min="23" max="23" width="33.5" customWidth="1"/>
    <col min="24" max="24" width="75.1640625" customWidth="1"/>
    <col min="25" max="25" width="44.33203125" customWidth="1"/>
    <col min="26" max="26" width="54.6640625" customWidth="1"/>
    <col min="27" max="27" width="57.5" customWidth="1"/>
    <col min="28" max="28" width="54.1640625" customWidth="1"/>
    <col min="29" max="29" width="52.1640625" customWidth="1"/>
    <col min="30" max="30" width="45.1640625" customWidth="1"/>
    <col min="31" max="31" width="68.83203125" customWidth="1"/>
    <col min="32" max="32" width="60.1640625" customWidth="1"/>
    <col min="33" max="33" width="61.6640625" customWidth="1"/>
    <col min="34" max="34" width="55" customWidth="1"/>
    <col min="35" max="35" width="44.6640625" customWidth="1"/>
    <col min="36" max="36" width="36.5" customWidth="1"/>
    <col min="37" max="37" width="40.5" customWidth="1"/>
    <col min="38" max="38" width="43.5" customWidth="1"/>
    <col min="39" max="39" width="60" customWidth="1"/>
    <col min="40" max="40" width="56.83203125" customWidth="1"/>
    <col min="41" max="41" width="35.83203125" customWidth="1"/>
    <col min="42" max="42" width="27.1640625" customWidth="1"/>
    <col min="43" max="43" width="48.6640625" customWidth="1"/>
    <col min="44" max="44" width="44" customWidth="1"/>
    <col min="45" max="45" width="24.83203125" customWidth="1"/>
    <col min="46" max="46" width="40.83203125" customWidth="1"/>
    <col min="47" max="47" width="28.83203125" customWidth="1"/>
    <col min="48" max="48" width="46.1640625" customWidth="1"/>
    <col min="49" max="49" width="24.83203125" customWidth="1"/>
    <col min="50" max="50" width="26.83203125" customWidth="1"/>
    <col min="51" max="51" width="45.5" customWidth="1"/>
    <col min="52" max="52" width="31.6640625" customWidth="1"/>
    <col min="53" max="53" width="33.1640625" customWidth="1"/>
    <col min="54" max="54" width="27.83203125" customWidth="1"/>
    <col min="55" max="55" width="36.5" customWidth="1"/>
    <col min="56" max="56" width="48" customWidth="1"/>
    <col min="57" max="57" width="65" customWidth="1"/>
    <col min="58" max="58" width="35.83203125" customWidth="1"/>
    <col min="59" max="59" width="25.5" customWidth="1"/>
    <col min="60" max="60" width="26.5" customWidth="1"/>
    <col min="61" max="61" width="36.6640625" customWidth="1"/>
    <col min="62" max="62" width="44.33203125" customWidth="1"/>
    <col min="63" max="63" width="31" customWidth="1"/>
    <col min="64" max="64" width="39.83203125" customWidth="1"/>
    <col min="65" max="65" width="28" customWidth="1"/>
    <col min="66" max="66" width="27.33203125" customWidth="1"/>
    <col min="67" max="67" width="25.83203125" customWidth="1"/>
    <col min="68" max="68" width="36.83203125" customWidth="1"/>
    <col min="69" max="69" width="38" customWidth="1"/>
    <col min="70" max="70" width="35" customWidth="1"/>
    <col min="71" max="71" width="42.5" customWidth="1"/>
    <col min="72" max="72" width="38.1640625" customWidth="1"/>
    <col min="73" max="73" width="57.33203125" customWidth="1"/>
    <col min="74" max="74" width="70.83203125" customWidth="1"/>
    <col min="75" max="75" width="52" customWidth="1"/>
    <col min="76" max="76" width="52.1640625" customWidth="1"/>
    <col min="77" max="77" width="69.83203125" customWidth="1"/>
    <col min="78" max="78" width="53.83203125" customWidth="1"/>
    <col min="79" max="79" width="56.83203125" customWidth="1"/>
    <col min="80" max="80" width="48.6640625" customWidth="1"/>
    <col min="81" max="81" width="71.33203125" customWidth="1"/>
    <col min="82" max="82" width="68.1640625" customWidth="1"/>
    <col min="83" max="83" width="47.6640625" customWidth="1"/>
    <col min="84" max="84" width="73.33203125" customWidth="1"/>
    <col min="85" max="85" width="55" customWidth="1"/>
    <col min="86" max="86" width="78.33203125" customWidth="1"/>
    <col min="87" max="87" width="69.5" customWidth="1"/>
    <col min="88" max="88" width="63.6640625" customWidth="1"/>
    <col min="89" max="89" width="79.1640625" customWidth="1"/>
    <col min="90" max="90" width="75.83203125" customWidth="1"/>
    <col min="91" max="91" width="58.1640625" customWidth="1"/>
    <col min="92" max="92" width="52.6640625" customWidth="1"/>
    <col min="93" max="93" width="59.83203125" customWidth="1"/>
    <col min="94" max="94" width="72.1640625" customWidth="1"/>
    <col min="95" max="95" width="70.33203125" customWidth="1"/>
    <col min="96" max="96" width="76" customWidth="1"/>
    <col min="97" max="97" width="66.33203125" customWidth="1"/>
    <col min="98" max="98" width="58" customWidth="1"/>
    <col min="99" max="99" width="71.5" customWidth="1"/>
    <col min="100" max="100" width="65.5" customWidth="1"/>
    <col min="101" max="101" width="62.33203125" customWidth="1"/>
    <col min="102" max="102" width="56.83203125" customWidth="1"/>
    <col min="103" max="103" width="64" customWidth="1"/>
    <col min="104" max="104" width="73.6640625" customWidth="1"/>
    <col min="105" max="105" width="76.1640625" customWidth="1"/>
    <col min="106" max="106" width="78.33203125" customWidth="1"/>
    <col min="107" max="107" width="70.33203125" customWidth="1"/>
    <col min="108" max="108" width="62" customWidth="1"/>
    <col min="109" max="109" width="75.6640625" customWidth="1"/>
    <col min="110" max="110" width="55.83203125" customWidth="1"/>
    <col min="111" max="111" width="52.6640625" customWidth="1"/>
    <col min="112" max="112" width="59.83203125" customWidth="1"/>
    <col min="113" max="113" width="73" customWidth="1"/>
    <col min="114" max="114" width="69.6640625" customWidth="1"/>
    <col min="115" max="115" width="54.5" customWidth="1"/>
    <col min="116" max="116" width="71.5" customWidth="1"/>
    <col min="117" max="117" width="60.1640625" customWidth="1"/>
    <col min="118" max="118" width="54.6640625" customWidth="1"/>
    <col min="119" max="119" width="56" customWidth="1"/>
    <col min="120" max="120" width="71.6640625" customWidth="1"/>
    <col min="121" max="121" width="78" customWidth="1"/>
    <col min="122" max="123" width="68.1640625" customWidth="1"/>
    <col min="124" max="124" width="65" customWidth="1"/>
    <col min="125" max="125" width="60.83203125" customWidth="1"/>
    <col min="126" max="126" width="77.1640625" customWidth="1"/>
    <col min="127" max="127" width="73.1640625" customWidth="1"/>
    <col min="128" max="128" width="61.33203125" customWidth="1"/>
    <col min="129" max="129" width="57.1640625" customWidth="1"/>
    <col min="130" max="130" width="53" customWidth="1"/>
    <col min="131" max="131" width="56" customWidth="1"/>
    <col min="132" max="132" width="58.1640625" customWidth="1"/>
    <col min="133" max="133" width="36.83203125" customWidth="1"/>
    <col min="134" max="134" width="36.6640625" customWidth="1"/>
    <col min="135" max="135" width="38.33203125" customWidth="1"/>
    <col min="136" max="136" width="36" customWidth="1"/>
    <col min="137" max="137" width="45" customWidth="1"/>
    <col min="138" max="138" width="33.83203125" customWidth="1"/>
    <col min="139" max="139" width="35.5" customWidth="1"/>
    <col min="140" max="140" width="34.1640625" customWidth="1"/>
    <col min="141" max="141" width="52.6640625" customWidth="1"/>
    <col min="142" max="142" width="44.83203125" customWidth="1"/>
    <col min="143" max="143" width="38" customWidth="1"/>
    <col min="144" max="144" width="70.1640625" customWidth="1"/>
    <col min="145" max="145" width="50" customWidth="1"/>
    <col min="146" max="146" width="51.6640625" customWidth="1"/>
    <col min="147" max="147" width="50.33203125" customWidth="1"/>
    <col min="148" max="148" width="68.83203125" customWidth="1"/>
    <col min="149" max="149" width="61" customWidth="1"/>
    <col min="150" max="150" width="54" customWidth="1"/>
    <col min="151" max="151" width="40.33203125" customWidth="1"/>
    <col min="152" max="152" width="31.5" customWidth="1"/>
    <col min="153" max="153" width="48.6640625" customWidth="1"/>
    <col min="154" max="154" width="43" customWidth="1"/>
    <col min="155" max="155" width="45.5" customWidth="1"/>
    <col min="156" max="156" width="51.5" customWidth="1"/>
    <col min="157" max="157" width="42.83203125" customWidth="1"/>
    <col min="158" max="158" width="27.83203125" customWidth="1"/>
    <col min="159" max="159" width="35.5" customWidth="1"/>
    <col min="160" max="160" width="52.83203125" customWidth="1"/>
    <col min="161" max="161" width="47.6640625" customWidth="1"/>
    <col min="162" max="162" width="54.6640625" customWidth="1"/>
    <col min="163" max="163" width="47" customWidth="1"/>
    <col min="164" max="164" width="31.83203125" customWidth="1"/>
    <col min="165" max="165" width="5.5" customWidth="1"/>
    <col min="166" max="166" width="5" customWidth="1"/>
    <col min="167" max="167" width="3.1640625" customWidth="1"/>
    <col min="168" max="178" width="4.1640625" customWidth="1"/>
    <col min="179" max="179" width="33.1640625" customWidth="1"/>
    <col min="180" max="180" width="50.83203125" customWidth="1"/>
    <col min="181" max="182" width="4.1640625" customWidth="1"/>
    <col min="183" max="183" width="54.83203125" customWidth="1"/>
    <col min="184" max="184" width="46.1640625" customWidth="1"/>
    <col min="185" max="185" width="3.1640625" customWidth="1"/>
    <col min="186" max="191" width="4.1640625" customWidth="1"/>
    <col min="192" max="192" width="50.1640625" customWidth="1"/>
    <col min="193" max="193" width="27" customWidth="1"/>
    <col min="194" max="197" width="3.1640625" customWidth="1"/>
    <col min="198" max="208" width="4.1640625" customWidth="1"/>
    <col min="209" max="209" width="30.83203125" customWidth="1"/>
    <col min="210" max="210" width="43" customWidth="1"/>
    <col min="211" max="211" width="46.83203125" customWidth="1"/>
    <col min="212" max="212" width="31" customWidth="1"/>
    <col min="213" max="214" width="3.1640625" customWidth="1"/>
    <col min="215" max="226" width="4.1640625" customWidth="1"/>
    <col min="227" max="227" width="35" customWidth="1"/>
    <col min="228" max="228" width="48.33203125" customWidth="1"/>
    <col min="229" max="232" width="4.1640625" customWidth="1"/>
    <col min="233" max="233" width="52.33203125" customWidth="1"/>
    <col min="234" max="234" width="27" customWidth="1"/>
    <col min="235" max="236" width="3.1640625" customWidth="1"/>
    <col min="237" max="244" width="4.1640625" customWidth="1"/>
    <col min="245" max="245" width="30.83203125" customWidth="1"/>
    <col min="246" max="246" width="29" customWidth="1"/>
    <col min="247" max="254" width="4.1640625" customWidth="1"/>
    <col min="255" max="255" width="32.83203125" customWidth="1"/>
    <col min="256" max="256" width="47.6640625" customWidth="1"/>
    <col min="257" max="259" width="4.1640625" customWidth="1"/>
    <col min="260" max="260" width="51.6640625" customWidth="1"/>
    <col min="261" max="261" width="33.83203125" customWidth="1"/>
    <col min="262" max="262" width="3.1640625" customWidth="1"/>
    <col min="263" max="269" width="4.1640625" customWidth="1"/>
    <col min="270" max="270" width="37.6640625" bestFit="1" customWidth="1"/>
    <col min="271" max="271" width="35.33203125" customWidth="1"/>
    <col min="272" max="272" width="3.1640625" customWidth="1"/>
    <col min="273" max="278" width="4.1640625" customWidth="1"/>
    <col min="279" max="279" width="39.1640625" customWidth="1"/>
    <col min="280" max="280" width="30" customWidth="1"/>
    <col min="281" max="281" width="3.1640625" customWidth="1"/>
    <col min="282" max="286" width="4.1640625" customWidth="1"/>
    <col min="287" max="287" width="33.83203125" customWidth="1"/>
    <col min="288" max="288" width="38.6640625" customWidth="1"/>
    <col min="289" max="290" width="3.1640625" customWidth="1"/>
    <col min="291" max="293" width="4.1640625" customWidth="1"/>
    <col min="294" max="294" width="42.6640625" customWidth="1"/>
    <col min="295" max="295" width="50.1640625" customWidth="1"/>
    <col min="296" max="296" width="4.1640625" customWidth="1"/>
    <col min="297" max="297" width="54.1640625" customWidth="1"/>
    <col min="298" max="298" width="67.1640625" bestFit="1" customWidth="1"/>
    <col min="299" max="299" width="71" customWidth="1"/>
    <col min="300" max="300" width="38" customWidth="1"/>
    <col min="301" max="301" width="4.1640625" customWidth="1"/>
    <col min="302" max="302" width="41.83203125" bestFit="1" customWidth="1"/>
    <col min="303" max="303" width="27.6640625" customWidth="1"/>
    <col min="304" max="305" width="4.1640625" customWidth="1"/>
    <col min="306" max="306" width="31.5" customWidth="1"/>
    <col min="307" max="307" width="28.6640625" customWidth="1"/>
    <col min="308" max="308" width="32.5" customWidth="1"/>
    <col min="309" max="309" width="38.83203125" customWidth="1"/>
    <col min="310" max="311" width="4.1640625" customWidth="1"/>
    <col min="312" max="312" width="42.83203125" bestFit="1" customWidth="1"/>
    <col min="313" max="313" width="46.5" customWidth="1"/>
    <col min="314" max="319" width="4.1640625" customWidth="1"/>
    <col min="320" max="320" width="50.33203125" bestFit="1" customWidth="1"/>
    <col min="321" max="321" width="33.1640625" customWidth="1"/>
    <col min="322" max="322" width="4.1640625" customWidth="1"/>
    <col min="323" max="323" width="37" customWidth="1"/>
    <col min="324" max="324" width="42" customWidth="1"/>
    <col min="325" max="325" width="4.1640625" customWidth="1"/>
    <col min="326" max="326" width="46" bestFit="1" customWidth="1"/>
    <col min="327" max="327" width="30.1640625" customWidth="1"/>
    <col min="328" max="329" width="4.1640625" customWidth="1"/>
    <col min="330" max="330" width="34" bestFit="1" customWidth="1"/>
    <col min="331" max="331" width="29.5" bestFit="1" customWidth="1"/>
    <col min="332" max="332" width="4.1640625" customWidth="1"/>
    <col min="333" max="333" width="33.5" bestFit="1" customWidth="1"/>
    <col min="334" max="334" width="28" bestFit="1" customWidth="1"/>
    <col min="335" max="336" width="4.1640625" customWidth="1"/>
    <col min="337" max="337" width="31.83203125" bestFit="1" customWidth="1"/>
    <col min="338" max="338" width="39" bestFit="1" customWidth="1"/>
    <col min="339" max="339" width="4.1640625" customWidth="1"/>
    <col min="340" max="340" width="42.83203125" bestFit="1" customWidth="1"/>
    <col min="341" max="341" width="40.1640625" bestFit="1" customWidth="1"/>
    <col min="342" max="342" width="44" bestFit="1" customWidth="1"/>
    <col min="343" max="343" width="37.1640625" bestFit="1" customWidth="1"/>
    <col min="344" max="344" width="3.1640625" customWidth="1"/>
    <col min="345" max="345" width="41.1640625" bestFit="1" customWidth="1"/>
    <col min="346" max="346" width="44.6640625" bestFit="1" customWidth="1"/>
    <col min="347" max="351" width="4.1640625" customWidth="1"/>
    <col min="352" max="352" width="48.6640625" bestFit="1" customWidth="1"/>
    <col min="353" max="353" width="40.33203125" bestFit="1" customWidth="1"/>
    <col min="354" max="354" width="3.1640625" customWidth="1"/>
    <col min="355" max="359" width="4.1640625" customWidth="1"/>
    <col min="360" max="360" width="44.33203125" bestFit="1" customWidth="1"/>
    <col min="361" max="361" width="59.5" bestFit="1" customWidth="1"/>
    <col min="362" max="363" width="4.1640625" customWidth="1"/>
    <col min="364" max="364" width="63.5" bestFit="1" customWidth="1"/>
    <col min="365" max="365" width="73" bestFit="1" customWidth="1"/>
    <col min="366" max="366" width="77" bestFit="1" customWidth="1"/>
    <col min="367" max="367" width="54.1640625" bestFit="1" customWidth="1"/>
    <col min="368" max="368" width="58" bestFit="1" customWidth="1"/>
    <col min="369" max="369" width="54.33203125" bestFit="1" customWidth="1"/>
    <col min="370" max="370" width="4.1640625" customWidth="1"/>
    <col min="371" max="371" width="58.33203125" bestFit="1" customWidth="1"/>
    <col min="372" max="372" width="72" bestFit="1" customWidth="1"/>
    <col min="373" max="373" width="4.1640625" customWidth="1"/>
    <col min="374" max="374" width="75.83203125" bestFit="1" customWidth="1"/>
    <col min="375" max="375" width="56" bestFit="1" customWidth="1"/>
    <col min="376" max="376" width="4.1640625" customWidth="1"/>
    <col min="377" max="377" width="60" bestFit="1" customWidth="1"/>
    <col min="378" max="378" width="59" bestFit="1" customWidth="1"/>
    <col min="379" max="379" width="4.1640625" customWidth="1"/>
    <col min="380" max="380" width="63" bestFit="1" customWidth="1"/>
    <col min="381" max="381" width="50.83203125" bestFit="1" customWidth="1"/>
    <col min="382" max="382" width="4.1640625" customWidth="1"/>
    <col min="383" max="383" width="54.6640625" bestFit="1" customWidth="1"/>
    <col min="384" max="384" width="73.5" bestFit="1" customWidth="1"/>
    <col min="385" max="385" width="77.5" bestFit="1" customWidth="1"/>
    <col min="386" max="386" width="70.33203125" bestFit="1" customWidth="1"/>
    <col min="387" max="387" width="74.1640625" bestFit="1" customWidth="1"/>
    <col min="388" max="388" width="49.83203125" bestFit="1" customWidth="1"/>
    <col min="389" max="389" width="53.83203125" bestFit="1" customWidth="1"/>
    <col min="390" max="390" width="75.5" bestFit="1" customWidth="1"/>
    <col min="391" max="391" width="79.33203125" bestFit="1" customWidth="1"/>
    <col min="392" max="392" width="57.1640625" bestFit="1" customWidth="1"/>
    <col min="393" max="397" width="4.1640625" customWidth="1"/>
    <col min="398" max="398" width="61" bestFit="1" customWidth="1"/>
    <col min="399" max="399" width="80.5" bestFit="1" customWidth="1"/>
    <col min="400" max="400" width="84.33203125" bestFit="1" customWidth="1"/>
    <col min="401" max="401" width="71.6640625" bestFit="1" customWidth="1"/>
    <col min="402" max="403" width="4.1640625" customWidth="1"/>
    <col min="404" max="404" width="75.5" bestFit="1" customWidth="1"/>
    <col min="405" max="405" width="65.83203125" bestFit="1" customWidth="1"/>
    <col min="406" max="406" width="4.1640625" customWidth="1"/>
    <col min="407" max="407" width="69.83203125" bestFit="1" customWidth="1"/>
    <col min="408" max="408" width="81.33203125" bestFit="1" customWidth="1"/>
    <col min="409" max="409" width="85.1640625" bestFit="1" customWidth="1"/>
    <col min="410" max="410" width="78" bestFit="1" customWidth="1"/>
    <col min="411" max="411" width="82" bestFit="1" customWidth="1"/>
    <col min="412" max="412" width="60.33203125" bestFit="1" customWidth="1"/>
    <col min="413" max="413" width="64.1640625" bestFit="1" customWidth="1"/>
    <col min="414" max="414" width="54.83203125" bestFit="1" customWidth="1"/>
    <col min="415" max="416" width="3.1640625" customWidth="1"/>
    <col min="417" max="419" width="4.1640625" customWidth="1"/>
    <col min="420" max="420" width="58.83203125" bestFit="1" customWidth="1"/>
    <col min="421" max="421" width="62" bestFit="1" customWidth="1"/>
    <col min="422" max="423" width="4.1640625" customWidth="1"/>
    <col min="424" max="424" width="66" bestFit="1" customWidth="1"/>
    <col min="425" max="425" width="74.33203125" bestFit="1" customWidth="1"/>
    <col min="426" max="426" width="78.1640625" bestFit="1" customWidth="1"/>
    <col min="427" max="427" width="72.5" bestFit="1" customWidth="1"/>
    <col min="428" max="428" width="4.1640625" customWidth="1"/>
    <col min="429" max="429" width="76.33203125" bestFit="1" customWidth="1"/>
    <col min="430" max="430" width="78.1640625" bestFit="1" customWidth="1"/>
    <col min="431" max="431" width="82.1640625" bestFit="1" customWidth="1"/>
    <col min="432" max="432" width="68.5" bestFit="1" customWidth="1"/>
    <col min="433" max="434" width="4.1640625" customWidth="1"/>
    <col min="435" max="435" width="72.33203125" bestFit="1" customWidth="1"/>
    <col min="436" max="436" width="60.1640625" bestFit="1" customWidth="1"/>
    <col min="437" max="437" width="4.1640625" customWidth="1"/>
    <col min="438" max="438" width="64" bestFit="1" customWidth="1"/>
    <col min="439" max="439" width="73.6640625" bestFit="1" customWidth="1"/>
    <col min="440" max="440" width="77.5" bestFit="1" customWidth="1"/>
    <col min="441" max="441" width="67.6640625" bestFit="1" customWidth="1"/>
    <col min="442" max="442" width="4.1640625" customWidth="1"/>
    <col min="443" max="443" width="71.5" bestFit="1" customWidth="1"/>
    <col min="444" max="444" width="64.5" bestFit="1" customWidth="1"/>
    <col min="445" max="445" width="68.33203125" bestFit="1" customWidth="1"/>
    <col min="446" max="446" width="59" bestFit="1" customWidth="1"/>
    <col min="447" max="451" width="4.1640625" customWidth="1"/>
    <col min="452" max="452" width="62.83203125" bestFit="1" customWidth="1"/>
    <col min="453" max="453" width="66.1640625" bestFit="1" customWidth="1"/>
    <col min="454" max="455" width="4.1640625" customWidth="1"/>
    <col min="456" max="456" width="70" bestFit="1" customWidth="1"/>
    <col min="457" max="457" width="75.83203125" bestFit="1" customWidth="1"/>
    <col min="458" max="458" width="4.1640625" customWidth="1"/>
    <col min="459" max="459" width="79.83203125" bestFit="1" customWidth="1"/>
    <col min="460" max="460" width="78.33203125" bestFit="1" customWidth="1"/>
    <col min="461" max="461" width="82.33203125" bestFit="1" customWidth="1"/>
    <col min="462" max="462" width="80.5" bestFit="1" customWidth="1"/>
    <col min="463" max="463" width="84.5" bestFit="1" customWidth="1"/>
    <col min="464" max="464" width="72.5" bestFit="1" customWidth="1"/>
    <col min="465" max="466" width="4.1640625" customWidth="1"/>
    <col min="467" max="467" width="76.5" bestFit="1" customWidth="1"/>
    <col min="468" max="468" width="64.1640625" bestFit="1" customWidth="1"/>
    <col min="469" max="469" width="4.1640625" customWidth="1"/>
    <col min="470" max="470" width="68.1640625" bestFit="1" customWidth="1"/>
    <col min="471" max="471" width="77.83203125" bestFit="1" customWidth="1"/>
    <col min="472" max="472" width="81.6640625" bestFit="1" customWidth="1"/>
    <col min="473" max="473" width="58" bestFit="1" customWidth="1"/>
    <col min="474" max="474" width="62" bestFit="1" customWidth="1"/>
    <col min="475" max="475" width="54.83203125" bestFit="1" customWidth="1"/>
    <col min="476" max="476" width="3.1640625" customWidth="1"/>
    <col min="477" max="479" width="4.1640625" customWidth="1"/>
    <col min="480" max="480" width="58.83203125" bestFit="1" customWidth="1"/>
    <col min="481" max="481" width="62" bestFit="1" customWidth="1"/>
    <col min="482" max="482" width="4.1640625" customWidth="1"/>
    <col min="483" max="483" width="66" bestFit="1" customWidth="1"/>
    <col min="484" max="484" width="75.1640625" bestFit="1" customWidth="1"/>
    <col min="485" max="485" width="79" bestFit="1" customWidth="1"/>
    <col min="486" max="486" width="71.83203125" bestFit="1" customWidth="1"/>
    <col min="487" max="487" width="3.1640625" customWidth="1"/>
    <col min="488" max="488" width="75.6640625" bestFit="1" customWidth="1"/>
    <col min="489" max="489" width="56.6640625" bestFit="1" customWidth="1"/>
    <col min="490" max="490" width="60.5" bestFit="1" customWidth="1"/>
    <col min="491" max="491" width="73.6640625" bestFit="1" customWidth="1"/>
    <col min="492" max="492" width="77.5" bestFit="1" customWidth="1"/>
    <col min="493" max="493" width="62.33203125" bestFit="1" customWidth="1"/>
    <col min="494" max="494" width="66.1640625" bestFit="1" customWidth="1"/>
    <col min="495" max="495" width="56.83203125" bestFit="1" customWidth="1"/>
    <col min="496" max="496" width="3.1640625" customWidth="1"/>
    <col min="497" max="499" width="4.1640625" customWidth="1"/>
    <col min="500" max="500" width="60.6640625" bestFit="1" customWidth="1"/>
    <col min="501" max="501" width="58.1640625" bestFit="1" customWidth="1"/>
    <col min="502" max="503" width="4.1640625" customWidth="1"/>
    <col min="504" max="504" width="62.1640625" bestFit="1" customWidth="1"/>
    <col min="505" max="505" width="73.83203125" bestFit="1" customWidth="1"/>
    <col min="506" max="506" width="4.1640625" customWidth="1"/>
    <col min="507" max="507" width="77.6640625" bestFit="1" customWidth="1"/>
    <col min="508" max="508" width="80.1640625" bestFit="1" customWidth="1"/>
    <col min="509" max="509" width="84.1640625" bestFit="1" customWidth="1"/>
    <col min="510" max="510" width="70.33203125" bestFit="1" customWidth="1"/>
    <col min="511" max="512" width="4.1640625" customWidth="1"/>
    <col min="513" max="513" width="74.33203125" bestFit="1" customWidth="1"/>
    <col min="514" max="514" width="70.33203125" bestFit="1" customWidth="1"/>
    <col min="515" max="515" width="4.1640625" customWidth="1"/>
    <col min="516" max="516" width="74.33203125" bestFit="1" customWidth="1"/>
    <col min="517" max="517" width="67.1640625" bestFit="1" customWidth="1"/>
    <col min="518" max="518" width="71.1640625" bestFit="1" customWidth="1"/>
    <col min="519" max="519" width="63" bestFit="1" customWidth="1"/>
    <col min="520" max="520" width="4.1640625" customWidth="1"/>
    <col min="521" max="521" width="67" bestFit="1" customWidth="1"/>
    <col min="522" max="522" width="79.33203125" bestFit="1" customWidth="1"/>
    <col min="523" max="523" width="4.1640625" customWidth="1"/>
    <col min="524" max="524" width="83.1640625" bestFit="1" customWidth="1"/>
    <col min="525" max="525" width="75.33203125" bestFit="1" customWidth="1"/>
    <col min="526" max="527" width="4.1640625" customWidth="1"/>
    <col min="528" max="528" width="79.1640625" bestFit="1" customWidth="1"/>
    <col min="529" max="529" width="63.5" bestFit="1" customWidth="1"/>
    <col min="530" max="530" width="67.33203125" bestFit="1" customWidth="1"/>
    <col min="531" max="531" width="59.33203125" bestFit="1" customWidth="1"/>
    <col min="532" max="532" width="63.1640625" bestFit="1" customWidth="1"/>
    <col min="533" max="533" width="55.1640625" bestFit="1" customWidth="1"/>
    <col min="534" max="534" width="4.1640625" customWidth="1"/>
    <col min="535" max="535" width="59.1640625" bestFit="1" customWidth="1"/>
    <col min="536" max="536" width="58.1640625" bestFit="1" customWidth="1"/>
    <col min="537" max="537" width="4.1640625" customWidth="1"/>
    <col min="538" max="538" width="62" bestFit="1" customWidth="1"/>
    <col min="539" max="539" width="60.33203125" bestFit="1" customWidth="1"/>
    <col min="540" max="540" width="64.1640625" bestFit="1" customWidth="1"/>
    <col min="541" max="541" width="39" bestFit="1" customWidth="1"/>
    <col min="542" max="542" width="43" bestFit="1" customWidth="1"/>
    <col min="543" max="543" width="38.83203125" bestFit="1" customWidth="1"/>
    <col min="544" max="544" width="4.1640625" customWidth="1"/>
    <col min="545" max="545" width="42.83203125" bestFit="1" customWidth="1"/>
    <col min="546" max="546" width="40.5" bestFit="1" customWidth="1"/>
    <col min="547" max="548" width="4.1640625" customWidth="1"/>
    <col min="549" max="549" width="44.5" bestFit="1" customWidth="1"/>
    <col min="550" max="550" width="38.1640625" bestFit="1" customWidth="1"/>
    <col min="551" max="551" width="42" bestFit="1" customWidth="1"/>
    <col min="552" max="552" width="47.1640625" bestFit="1" customWidth="1"/>
    <col min="553" max="553" width="4.1640625" customWidth="1"/>
    <col min="554" max="554" width="51" bestFit="1" customWidth="1"/>
    <col min="555" max="555" width="36" bestFit="1" customWidth="1"/>
    <col min="556" max="556" width="40" bestFit="1" customWidth="1"/>
    <col min="557" max="557" width="37.6640625" bestFit="1" customWidth="1"/>
    <col min="558" max="558" width="41.5" bestFit="1" customWidth="1"/>
    <col min="559" max="559" width="36.33203125" bestFit="1" customWidth="1"/>
    <col min="560" max="560" width="40.1640625" bestFit="1" customWidth="1"/>
    <col min="561" max="561" width="54.83203125" bestFit="1" customWidth="1"/>
    <col min="562" max="562" width="58.6640625" bestFit="1" customWidth="1"/>
    <col min="563" max="563" width="47" bestFit="1" customWidth="1"/>
    <col min="564" max="564" width="51" bestFit="1" customWidth="1"/>
    <col min="565" max="565" width="40.1640625" bestFit="1" customWidth="1"/>
    <col min="566" max="567" width="4.1640625" customWidth="1"/>
    <col min="568" max="568" width="44" bestFit="1" customWidth="1"/>
    <col min="569" max="569" width="72.33203125" bestFit="1" customWidth="1"/>
    <col min="570" max="570" width="4.1640625" customWidth="1"/>
    <col min="571" max="571" width="76.33203125" bestFit="1" customWidth="1"/>
    <col min="572" max="572" width="52.1640625" bestFit="1" customWidth="1"/>
    <col min="573" max="573" width="56.1640625" bestFit="1" customWidth="1"/>
    <col min="574" max="574" width="53.83203125" bestFit="1" customWidth="1"/>
    <col min="575" max="575" width="57.83203125" bestFit="1" customWidth="1"/>
    <col min="576" max="576" width="52.5" bestFit="1" customWidth="1"/>
    <col min="577" max="577" width="56.33203125" bestFit="1" customWidth="1"/>
    <col min="578" max="578" width="71" bestFit="1" customWidth="1"/>
    <col min="579" max="579" width="75" bestFit="1" customWidth="1"/>
    <col min="580" max="580" width="63.1640625" bestFit="1" customWidth="1"/>
    <col min="581" max="581" width="67.1640625" bestFit="1" customWidth="1"/>
    <col min="582" max="582" width="56.1640625" bestFit="1" customWidth="1"/>
    <col min="583" max="586" width="4.1640625" customWidth="1"/>
    <col min="587" max="587" width="60.1640625" bestFit="1" customWidth="1"/>
    <col min="588" max="588" width="42.5" bestFit="1" customWidth="1"/>
    <col min="589" max="589" width="46.5" bestFit="1" customWidth="1"/>
    <col min="590" max="590" width="33.6640625" bestFit="1" customWidth="1"/>
    <col min="591" max="591" width="37.5" bestFit="1" customWidth="1"/>
    <col min="592" max="592" width="50.83203125" bestFit="1" customWidth="1"/>
    <col min="593" max="593" width="54.83203125" bestFit="1" customWidth="1"/>
    <col min="594" max="594" width="45.1640625" bestFit="1" customWidth="1"/>
    <col min="595" max="595" width="4.1640625" customWidth="1"/>
    <col min="596" max="596" width="49" bestFit="1" customWidth="1"/>
    <col min="597" max="597" width="47.6640625" bestFit="1" customWidth="1"/>
    <col min="598" max="598" width="51.5" bestFit="1" customWidth="1"/>
    <col min="599" max="599" width="53.6640625" bestFit="1" customWidth="1"/>
    <col min="600" max="600" width="57.6640625" bestFit="1" customWidth="1"/>
    <col min="601" max="601" width="45" bestFit="1" customWidth="1"/>
    <col min="602" max="602" width="48.83203125" bestFit="1" customWidth="1"/>
    <col min="603" max="603" width="30" bestFit="1" customWidth="1"/>
    <col min="604" max="604" width="33.83203125" bestFit="1" customWidth="1"/>
    <col min="605" max="605" width="37.6640625" bestFit="1" customWidth="1"/>
    <col min="606" max="606" width="41.6640625" bestFit="1" customWidth="1"/>
    <col min="607" max="607" width="55" bestFit="1" customWidth="1"/>
    <col min="608" max="608" width="58.83203125" bestFit="1" customWidth="1"/>
    <col min="609" max="609" width="49.83203125" bestFit="1" customWidth="1"/>
    <col min="610" max="610" width="3.1640625" customWidth="1"/>
    <col min="611" max="611" width="53.83203125" bestFit="1" customWidth="1"/>
    <col min="612" max="612" width="56.83203125" bestFit="1" customWidth="1"/>
    <col min="613" max="613" width="60.83203125" bestFit="1" customWidth="1"/>
    <col min="614" max="614" width="49.1640625" bestFit="1" customWidth="1"/>
    <col min="615" max="615" width="53" bestFit="1" customWidth="1"/>
    <col min="616" max="616" width="34" bestFit="1" customWidth="1"/>
    <col min="617" max="617" width="38" bestFit="1" customWidth="1"/>
    <col min="618" max="618" width="7.6640625" customWidth="1"/>
    <col min="619" max="619" width="11.6640625" bestFit="1" customWidth="1"/>
    <col min="620" max="620" width="5" customWidth="1"/>
  </cols>
  <sheetData>
    <row r="2" spans="1:3" ht="20">
      <c r="A2" s="10" t="str">
        <f>Extraction!F2</f>
        <v xml:space="preserve">Document Date doc. Client dest. 002488 O BAG STORE BLAGNAC </v>
      </c>
    </row>
    <row r="3" spans="1:3">
      <c r="B3" s="5" t="s">
        <v>268</v>
      </c>
    </row>
    <row r="4" spans="1:3">
      <c r="A4" s="5" t="s">
        <v>267</v>
      </c>
      <c r="B4" t="s">
        <v>313</v>
      </c>
      <c r="C4" t="s">
        <v>312</v>
      </c>
    </row>
    <row r="5" spans="1:3">
      <c r="A5" s="6" t="s">
        <v>136</v>
      </c>
      <c r="B5" s="7">
        <v>3</v>
      </c>
      <c r="C5" s="3">
        <v>23.4</v>
      </c>
    </row>
    <row r="6" spans="1:3">
      <c r="A6" s="8" t="s">
        <v>0</v>
      </c>
      <c r="B6" s="7">
        <v>3</v>
      </c>
      <c r="C6" s="3">
        <v>23.4</v>
      </c>
    </row>
    <row r="7" spans="1:3">
      <c r="A7" s="9" t="s">
        <v>311</v>
      </c>
      <c r="B7" s="7">
        <v>3</v>
      </c>
      <c r="C7" s="3">
        <v>23.4</v>
      </c>
    </row>
    <row r="8" spans="1:3">
      <c r="A8" s="6" t="s">
        <v>132</v>
      </c>
      <c r="B8" s="7">
        <v>3</v>
      </c>
      <c r="C8" s="3">
        <v>23.4</v>
      </c>
    </row>
  </sheetData>
  <phoneticPr fontId="8" type="noConversion"/>
  <pageMargins left="0.75000000000000011" right="0.75000000000000011" top="1" bottom="1" header="0.5" footer="0.5"/>
  <pageSetup paperSize="9" scale="83" fitToHeight="0" orientation="portrait" horizontalDpi="4294967292" verticalDpi="4294967292"/>
  <headerFooter>
    <oddFooter>&amp;L&amp;K000000&amp;F &amp;A&amp;R&amp;K000000&amp;P / &amp;N - &amp;D &amp;T</oddFooter>
  </headerFooter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 enableFormatConditionsCalculation="0"/>
  <dimension ref="B1:N457"/>
  <sheetViews>
    <sheetView workbookViewId="0">
      <selection activeCell="F7" sqref="F7"/>
    </sheetView>
  </sheetViews>
  <sheetFormatPr baseColWidth="10" defaultRowHeight="14" x14ac:dyDescent="0"/>
  <cols>
    <col min="2" max="2" width="4.1640625" bestFit="1" customWidth="1"/>
    <col min="3" max="3" width="15.33203125" bestFit="1" customWidth="1"/>
    <col min="4" max="4" width="5.6640625" customWidth="1"/>
    <col min="5" max="5" width="9.6640625" bestFit="1" customWidth="1"/>
    <col min="6" max="6" width="79.1640625" style="1" bestFit="1" customWidth="1"/>
    <col min="7" max="7" width="4.1640625" bestFit="1" customWidth="1"/>
    <col min="8" max="8" width="14.33203125" customWidth="1"/>
    <col min="12" max="12" width="5.33203125" bestFit="1" customWidth="1"/>
    <col min="13" max="13" width="17.83203125" bestFit="1" customWidth="1"/>
  </cols>
  <sheetData>
    <row r="1" spans="2:14">
      <c r="C1">
        <f>MATCH("* Total Facture*", Feuil1!A:A, 0)</f>
        <v>6199</v>
      </c>
      <c r="F1" t="str">
        <f>INDEX(Feuil1!A:A,Extraction!C1)</f>
        <v xml:space="preserve">200,00 Total Facture 13.430,88 </v>
      </c>
    </row>
    <row r="2" spans="2:14" ht="18">
      <c r="C2" s="2">
        <f>SUM(J:J)</f>
        <v>13430.880000000005</v>
      </c>
      <c r="F2" s="4" t="str">
        <f>INDEX(Feuil1!A:A,MATCH("*Document Date *", Feuil1!A:A, 0))</f>
        <v xml:space="preserve">Document Date doc. Client dest. 002488 O BAG STORE BLAGNAC </v>
      </c>
      <c r="J2">
        <f>COUNTIF(K:K, FALSE)</f>
        <v>0</v>
      </c>
      <c r="K2" t="s">
        <v>127</v>
      </c>
    </row>
    <row r="4" spans="2:14">
      <c r="B4" t="s">
        <v>1011</v>
      </c>
      <c r="C4" t="s">
        <v>265</v>
      </c>
      <c r="D4" t="s">
        <v>270</v>
      </c>
      <c r="E4" t="s">
        <v>271</v>
      </c>
      <c r="F4" s="1" t="s">
        <v>1012</v>
      </c>
      <c r="G4" t="s">
        <v>266</v>
      </c>
      <c r="H4" t="s">
        <v>1013</v>
      </c>
      <c r="I4" t="s">
        <v>1014</v>
      </c>
      <c r="J4" t="s">
        <v>1015</v>
      </c>
      <c r="K4" t="s">
        <v>1016</v>
      </c>
    </row>
    <row r="5" spans="2:14">
      <c r="B5">
        <v>1</v>
      </c>
      <c r="C5" t="s">
        <v>0</v>
      </c>
      <c r="D5">
        <v>26</v>
      </c>
      <c r="E5" t="str">
        <f>IF(VLOOKUP(D5,Couleurs!A:B,2) = 0, "[" &amp; D5 &amp; "]",VLOOKUP(D5,Couleurs!A:B,2))</f>
        <v>[26]</v>
      </c>
      <c r="F5" s="1" t="s">
        <v>136</v>
      </c>
      <c r="G5">
        <v>3</v>
      </c>
      <c r="H5" t="s">
        <v>1550</v>
      </c>
      <c r="I5" t="s">
        <v>1551</v>
      </c>
      <c r="J5">
        <f t="shared" ref="J5:J68" si="0">G5*H5</f>
        <v>23.4</v>
      </c>
      <c r="K5" t="b">
        <f t="shared" ref="K5:K68" si="1">(0+I5)=J5</f>
        <v>1</v>
      </c>
    </row>
    <row r="6" spans="2:14">
      <c r="B6">
        <v>2</v>
      </c>
      <c r="C6" t="s">
        <v>1</v>
      </c>
      <c r="D6">
        <v>76</v>
      </c>
      <c r="E6" t="str">
        <f>IF(VLOOKUP(D6,Couleurs!A:B,2) = 0, "[" &amp; D6 &amp; "]",VLOOKUP(D6,Couleurs!A:B,2))</f>
        <v>[76]</v>
      </c>
      <c r="F6" s="1" t="s">
        <v>137</v>
      </c>
      <c r="G6">
        <v>4</v>
      </c>
      <c r="H6" t="s">
        <v>1552</v>
      </c>
      <c r="I6" t="s">
        <v>1553</v>
      </c>
      <c r="J6">
        <f t="shared" si="0"/>
        <v>50.88</v>
      </c>
      <c r="K6" t="b">
        <f t="shared" si="1"/>
        <v>1</v>
      </c>
      <c r="N6">
        <v>483</v>
      </c>
    </row>
    <row r="7" spans="2:14">
      <c r="B7">
        <v>3</v>
      </c>
      <c r="C7" t="s">
        <v>2</v>
      </c>
      <c r="D7">
        <v>347</v>
      </c>
      <c r="E7" t="str">
        <f>IF(VLOOKUP(D7,Couleurs!A:B,2) = 0, "[" &amp; D7 &amp; "]",VLOOKUP(D7,Couleurs!A:B,2))</f>
        <v>[347]</v>
      </c>
      <c r="F7" s="1" t="s">
        <v>138</v>
      </c>
      <c r="G7">
        <v>3</v>
      </c>
      <c r="H7" t="s">
        <v>1554</v>
      </c>
      <c r="I7" t="s">
        <v>1555</v>
      </c>
      <c r="J7">
        <f t="shared" si="0"/>
        <v>14.399999999999999</v>
      </c>
      <c r="K7" t="b">
        <f t="shared" si="1"/>
        <v>1</v>
      </c>
    </row>
    <row r="8" spans="2:14">
      <c r="B8">
        <v>4</v>
      </c>
      <c r="C8" t="s">
        <v>3</v>
      </c>
      <c r="D8">
        <v>470</v>
      </c>
      <c r="E8" t="str">
        <f>IF(VLOOKUP(D8,Couleurs!A:B,2) = 0, "[" &amp; D8 &amp; "]",VLOOKUP(D8,Couleurs!A:B,2))</f>
        <v>[470]</v>
      </c>
      <c r="F8" s="1" t="s">
        <v>139</v>
      </c>
      <c r="G8">
        <v>2</v>
      </c>
      <c r="H8" t="s">
        <v>1556</v>
      </c>
      <c r="I8" t="s">
        <v>1557</v>
      </c>
      <c r="J8">
        <f t="shared" si="0"/>
        <v>26.88</v>
      </c>
      <c r="K8" t="b">
        <f t="shared" si="1"/>
        <v>1</v>
      </c>
    </row>
    <row r="9" spans="2:14">
      <c r="B9">
        <v>5</v>
      </c>
      <c r="C9" t="s">
        <v>4</v>
      </c>
      <c r="D9">
        <v>422</v>
      </c>
      <c r="E9" t="str">
        <f>IF(VLOOKUP(D9,Couleurs!A:B,2) = 0, "[" &amp; D9 &amp; "]",VLOOKUP(D9,Couleurs!A:B,2))</f>
        <v>SANGRIA</v>
      </c>
      <c r="F9" s="1" t="s">
        <v>140</v>
      </c>
      <c r="G9">
        <v>2</v>
      </c>
      <c r="H9" t="s">
        <v>1558</v>
      </c>
      <c r="I9" t="s">
        <v>1559</v>
      </c>
      <c r="J9">
        <f t="shared" si="0"/>
        <v>36.24</v>
      </c>
      <c r="K9" t="b">
        <f t="shared" si="1"/>
        <v>1</v>
      </c>
    </row>
    <row r="10" spans="2:14">
      <c r="B10">
        <v>6</v>
      </c>
      <c r="C10" t="s">
        <v>5</v>
      </c>
      <c r="D10">
        <v>347</v>
      </c>
      <c r="E10" t="str">
        <f>IF(VLOOKUP(D10,Couleurs!A:B,2) = 0, "[" &amp; D10 &amp; "]",VLOOKUP(D10,Couleurs!A:B,2))</f>
        <v>[347]</v>
      </c>
      <c r="F10" s="1" t="s">
        <v>141</v>
      </c>
      <c r="G10">
        <v>2</v>
      </c>
      <c r="H10" t="s">
        <v>1560</v>
      </c>
      <c r="I10" t="s">
        <v>1561</v>
      </c>
      <c r="J10">
        <f t="shared" si="0"/>
        <v>18.72</v>
      </c>
      <c r="K10" t="b">
        <f t="shared" si="1"/>
        <v>1</v>
      </c>
    </row>
    <row r="11" spans="2:14">
      <c r="B11">
        <v>7</v>
      </c>
      <c r="C11" t="s">
        <v>6</v>
      </c>
      <c r="D11">
        <v>422</v>
      </c>
      <c r="E11" t="str">
        <f>IF(VLOOKUP(D11,Couleurs!A:B,2) = 0, "[" &amp; D11 &amp; "]",VLOOKUP(D11,Couleurs!A:B,2))</f>
        <v>SANGRIA</v>
      </c>
      <c r="F11" s="1" t="s">
        <v>142</v>
      </c>
      <c r="G11">
        <v>2</v>
      </c>
      <c r="H11" t="s">
        <v>1552</v>
      </c>
      <c r="I11" t="s">
        <v>1562</v>
      </c>
      <c r="J11">
        <f t="shared" si="0"/>
        <v>25.44</v>
      </c>
      <c r="K11" t="b">
        <f t="shared" si="1"/>
        <v>1</v>
      </c>
    </row>
    <row r="12" spans="2:14">
      <c r="B12">
        <v>8</v>
      </c>
      <c r="C12" t="s">
        <v>7</v>
      </c>
      <c r="D12">
        <v>8</v>
      </c>
      <c r="E12" t="str">
        <f>IF(VLOOKUP(D12,Couleurs!A:B,2) = 0, "[" &amp; D12 &amp; "]",VLOOKUP(D12,Couleurs!A:B,2))</f>
        <v>WHITE</v>
      </c>
      <c r="F12" s="1" t="s">
        <v>143</v>
      </c>
      <c r="G12">
        <v>6</v>
      </c>
      <c r="H12" t="s">
        <v>1563</v>
      </c>
      <c r="I12" t="s">
        <v>2172</v>
      </c>
      <c r="J12">
        <f t="shared" si="0"/>
        <v>71.28</v>
      </c>
      <c r="K12" t="b">
        <f t="shared" si="1"/>
        <v>1</v>
      </c>
    </row>
    <row r="13" spans="2:14">
      <c r="B13">
        <v>9</v>
      </c>
      <c r="C13" t="s">
        <v>8</v>
      </c>
      <c r="D13">
        <v>36</v>
      </c>
      <c r="E13" t="str">
        <f>IF(VLOOKUP(D13,Couleurs!A:B,2) = 0, "[" &amp; D13 &amp; "]",VLOOKUP(D13,Couleurs!A:B,2))</f>
        <v>[36]</v>
      </c>
      <c r="F13" s="1" t="s">
        <v>144</v>
      </c>
      <c r="G13">
        <v>2</v>
      </c>
      <c r="H13" t="s">
        <v>1550</v>
      </c>
      <c r="I13" t="s">
        <v>1564</v>
      </c>
      <c r="J13">
        <f t="shared" si="0"/>
        <v>15.6</v>
      </c>
      <c r="K13" t="b">
        <f t="shared" si="1"/>
        <v>1</v>
      </c>
    </row>
    <row r="14" spans="2:14">
      <c r="B14">
        <v>10</v>
      </c>
      <c r="C14" t="s">
        <v>9</v>
      </c>
      <c r="D14">
        <v>26</v>
      </c>
      <c r="E14" t="str">
        <f>IF(VLOOKUP(D14,Couleurs!A:B,2) = 0, "[" &amp; D14 &amp; "]",VLOOKUP(D14,Couleurs!A:B,2))</f>
        <v>[26]</v>
      </c>
      <c r="F14" s="1" t="s">
        <v>145</v>
      </c>
      <c r="G14">
        <v>3</v>
      </c>
      <c r="H14" t="s">
        <v>1555</v>
      </c>
      <c r="I14" t="s">
        <v>1565</v>
      </c>
      <c r="J14">
        <f t="shared" si="0"/>
        <v>43.2</v>
      </c>
      <c r="K14" t="b">
        <f t="shared" si="1"/>
        <v>1</v>
      </c>
    </row>
    <row r="15" spans="2:14">
      <c r="B15">
        <v>11</v>
      </c>
      <c r="C15" t="s">
        <v>10</v>
      </c>
      <c r="D15">
        <v>479</v>
      </c>
      <c r="E15" t="str">
        <f>IF(VLOOKUP(D15,Couleurs!A:B,2) = 0, "[" &amp; D15 &amp; "]",VLOOKUP(D15,Couleurs!A:B,2))</f>
        <v>[479]</v>
      </c>
      <c r="F15" s="1" t="s">
        <v>146</v>
      </c>
      <c r="G15">
        <v>2</v>
      </c>
      <c r="H15" t="s">
        <v>1566</v>
      </c>
      <c r="I15" t="s">
        <v>1555</v>
      </c>
      <c r="J15">
        <f t="shared" si="0"/>
        <v>14.4</v>
      </c>
      <c r="K15" t="b">
        <f t="shared" si="1"/>
        <v>1</v>
      </c>
    </row>
    <row r="16" spans="2:14">
      <c r="B16">
        <v>12</v>
      </c>
      <c r="C16" t="s">
        <v>11</v>
      </c>
      <c r="D16">
        <v>481</v>
      </c>
      <c r="E16" t="str">
        <f>IF(VLOOKUP(D16,Couleurs!A:B,2) = 0, "[" &amp; D16 &amp; "]",VLOOKUP(D16,Couleurs!A:B,2))</f>
        <v>[481]</v>
      </c>
      <c r="F16" s="1" t="s">
        <v>147</v>
      </c>
      <c r="G16">
        <v>2</v>
      </c>
      <c r="H16" t="s">
        <v>1552</v>
      </c>
      <c r="I16" t="s">
        <v>1562</v>
      </c>
      <c r="J16">
        <f t="shared" si="0"/>
        <v>25.44</v>
      </c>
      <c r="K16" t="b">
        <f t="shared" si="1"/>
        <v>1</v>
      </c>
    </row>
    <row r="17" spans="2:11">
      <c r="B17">
        <v>13</v>
      </c>
      <c r="C17" t="s">
        <v>5</v>
      </c>
      <c r="D17">
        <v>26</v>
      </c>
      <c r="E17" t="str">
        <f>IF(VLOOKUP(D17,Couleurs!A:B,2) = 0, "[" &amp; D17 &amp; "]",VLOOKUP(D17,Couleurs!A:B,2))</f>
        <v>[26]</v>
      </c>
      <c r="F17" s="1" t="s">
        <v>141</v>
      </c>
      <c r="G17">
        <v>2</v>
      </c>
      <c r="H17" t="s">
        <v>1560</v>
      </c>
      <c r="I17" t="s">
        <v>1561</v>
      </c>
      <c r="J17">
        <f t="shared" si="0"/>
        <v>18.72</v>
      </c>
      <c r="K17" t="b">
        <f t="shared" si="1"/>
        <v>1</v>
      </c>
    </row>
    <row r="18" spans="2:11">
      <c r="B18">
        <v>14</v>
      </c>
      <c r="C18" t="s">
        <v>12</v>
      </c>
      <c r="D18">
        <v>17</v>
      </c>
      <c r="E18" t="str">
        <f>IF(VLOOKUP(D18,Couleurs!A:B,2) = 0, "[" &amp; D18 &amp; "]",VLOOKUP(D18,Couleurs!A:B,2))</f>
        <v>NAVY BLUE</v>
      </c>
      <c r="F18" s="1" t="s">
        <v>148</v>
      </c>
      <c r="G18">
        <v>3</v>
      </c>
      <c r="H18">
        <v>9</v>
      </c>
      <c r="I18">
        <v>27</v>
      </c>
      <c r="J18">
        <f t="shared" si="0"/>
        <v>27</v>
      </c>
      <c r="K18" t="b">
        <f t="shared" si="1"/>
        <v>1</v>
      </c>
    </row>
    <row r="19" spans="2:11">
      <c r="B19">
        <v>15</v>
      </c>
      <c r="C19" t="s">
        <v>1567</v>
      </c>
      <c r="D19">
        <v>26</v>
      </c>
      <c r="E19" t="str">
        <f>IF(VLOOKUP(D19,Couleurs!A:B,2) = 0, "[" &amp; D19 &amp; "]",VLOOKUP(D19,Couleurs!A:B,2))</f>
        <v>[26]</v>
      </c>
      <c r="F19" s="1" t="s">
        <v>2173</v>
      </c>
      <c r="G19">
        <v>3</v>
      </c>
      <c r="H19" t="s">
        <v>1568</v>
      </c>
      <c r="I19" t="s">
        <v>2174</v>
      </c>
      <c r="J19">
        <f t="shared" si="0"/>
        <v>57.96</v>
      </c>
      <c r="K19" t="b">
        <f t="shared" si="1"/>
        <v>1</v>
      </c>
    </row>
    <row r="20" spans="2:11">
      <c r="B20">
        <v>16</v>
      </c>
      <c r="C20" t="s">
        <v>16</v>
      </c>
      <c r="D20">
        <v>61</v>
      </c>
      <c r="E20" t="str">
        <f>IF(VLOOKUP(D20,Couleurs!A:B,2) = 0, "[" &amp; D20 &amp; "]",VLOOKUP(D20,Couleurs!A:B,2))</f>
        <v>GOLD</v>
      </c>
      <c r="F20" s="1" t="s">
        <v>149</v>
      </c>
      <c r="G20">
        <v>2</v>
      </c>
      <c r="H20" t="s">
        <v>1564</v>
      </c>
      <c r="I20" t="s">
        <v>1569</v>
      </c>
      <c r="J20">
        <f t="shared" si="0"/>
        <v>31.2</v>
      </c>
      <c r="K20" t="b">
        <f t="shared" si="1"/>
        <v>1</v>
      </c>
    </row>
    <row r="21" spans="2:11">
      <c r="B21">
        <v>17</v>
      </c>
      <c r="C21" t="s">
        <v>17</v>
      </c>
      <c r="D21">
        <v>75</v>
      </c>
      <c r="E21" t="str">
        <f>IF(VLOOKUP(D21,Couleurs!A:B,2) = 0, "[" &amp; D21 &amp; "]",VLOOKUP(D21,Couleurs!A:B,2))</f>
        <v>[75]</v>
      </c>
      <c r="F21" s="1" t="s">
        <v>150</v>
      </c>
      <c r="G21">
        <v>3</v>
      </c>
      <c r="H21" t="s">
        <v>1570</v>
      </c>
      <c r="I21" t="s">
        <v>1571</v>
      </c>
      <c r="J21">
        <f t="shared" si="0"/>
        <v>25.200000000000003</v>
      </c>
      <c r="K21" t="b">
        <f t="shared" si="1"/>
        <v>1</v>
      </c>
    </row>
    <row r="22" spans="2:11">
      <c r="B22">
        <v>18</v>
      </c>
      <c r="C22" t="s">
        <v>17</v>
      </c>
      <c r="D22">
        <v>130</v>
      </c>
      <c r="E22" t="str">
        <f>IF(VLOOKUP(D22,Couleurs!A:B,2) = 0, "[" &amp; D22 &amp; "]",VLOOKUP(D22,Couleurs!A:B,2))</f>
        <v>[130]</v>
      </c>
      <c r="F22" s="1" t="s">
        <v>150</v>
      </c>
      <c r="G22">
        <v>3</v>
      </c>
      <c r="H22" t="s">
        <v>1570</v>
      </c>
      <c r="I22" t="s">
        <v>1571</v>
      </c>
      <c r="J22">
        <f t="shared" si="0"/>
        <v>25.200000000000003</v>
      </c>
      <c r="K22" t="b">
        <f t="shared" si="1"/>
        <v>1</v>
      </c>
    </row>
    <row r="23" spans="2:11">
      <c r="B23">
        <v>19</v>
      </c>
      <c r="C23" t="s">
        <v>18</v>
      </c>
      <c r="D23">
        <v>76</v>
      </c>
      <c r="E23" t="str">
        <f>IF(VLOOKUP(D23,Couleurs!A:B,2) = 0, "[" &amp; D23 &amp; "]",VLOOKUP(D23,Couleurs!A:B,2))</f>
        <v>[76]</v>
      </c>
      <c r="F23" s="1" t="s">
        <v>151</v>
      </c>
      <c r="G23">
        <v>2</v>
      </c>
      <c r="H23" t="s">
        <v>1572</v>
      </c>
      <c r="I23" t="s">
        <v>1556</v>
      </c>
      <c r="J23">
        <f t="shared" si="0"/>
        <v>13.44</v>
      </c>
      <c r="K23" t="b">
        <f t="shared" si="1"/>
        <v>1</v>
      </c>
    </row>
    <row r="24" spans="2:11">
      <c r="B24">
        <v>20</v>
      </c>
      <c r="C24" t="s">
        <v>19</v>
      </c>
      <c r="D24">
        <v>371</v>
      </c>
      <c r="E24" t="str">
        <f>IF(VLOOKUP(D24,Couleurs!A:B,2) = 0, "[" &amp; D24 &amp; "]",VLOOKUP(D24,Couleurs!A:B,2))</f>
        <v>MILK</v>
      </c>
      <c r="F24" s="1" t="s">
        <v>152</v>
      </c>
      <c r="G24">
        <v>3</v>
      </c>
      <c r="H24" t="s">
        <v>1573</v>
      </c>
      <c r="I24" t="s">
        <v>1574</v>
      </c>
      <c r="J24">
        <f t="shared" si="0"/>
        <v>28.799999999999997</v>
      </c>
      <c r="K24" t="b">
        <f t="shared" si="1"/>
        <v>1</v>
      </c>
    </row>
    <row r="25" spans="2:11">
      <c r="B25">
        <v>21</v>
      </c>
      <c r="C25" t="s">
        <v>20</v>
      </c>
      <c r="D25">
        <v>55</v>
      </c>
      <c r="E25" t="str">
        <f>IF(VLOOKUP(D25,Couleurs!A:B,2) = 0, "[" &amp; D25 &amp; "]",VLOOKUP(D25,Couleurs!A:B,2))</f>
        <v>BLACK</v>
      </c>
      <c r="F25" s="1" t="s">
        <v>153</v>
      </c>
      <c r="G25">
        <v>10</v>
      </c>
      <c r="H25" t="s">
        <v>1573</v>
      </c>
      <c r="I25">
        <v>96</v>
      </c>
      <c r="J25">
        <f t="shared" si="0"/>
        <v>96</v>
      </c>
      <c r="K25" t="b">
        <f t="shared" si="1"/>
        <v>1</v>
      </c>
    </row>
    <row r="26" spans="2:11">
      <c r="B26">
        <v>22</v>
      </c>
      <c r="C26" t="s">
        <v>21</v>
      </c>
      <c r="D26">
        <v>76</v>
      </c>
      <c r="E26" t="str">
        <f>IF(VLOOKUP(D26,Couleurs!A:B,2) = 0, "[" &amp; D26 &amp; "]",VLOOKUP(D26,Couleurs!A:B,2))</f>
        <v>[76]</v>
      </c>
      <c r="F26" s="1" t="s">
        <v>154</v>
      </c>
      <c r="G26">
        <v>3</v>
      </c>
      <c r="H26" t="s">
        <v>1555</v>
      </c>
      <c r="I26" t="s">
        <v>1565</v>
      </c>
      <c r="J26">
        <f t="shared" si="0"/>
        <v>43.2</v>
      </c>
      <c r="K26" t="b">
        <f t="shared" si="1"/>
        <v>1</v>
      </c>
    </row>
    <row r="27" spans="2:11">
      <c r="B27">
        <v>23</v>
      </c>
      <c r="C27" t="s">
        <v>22</v>
      </c>
      <c r="D27">
        <v>158</v>
      </c>
      <c r="E27" t="str">
        <f>IF(VLOOKUP(D27,Couleurs!A:B,2) = 0, "[" &amp; D27 &amp; "]",VLOOKUP(D27,Couleurs!A:B,2))</f>
        <v>VOLCANO</v>
      </c>
      <c r="F27" s="1" t="s">
        <v>155</v>
      </c>
      <c r="G27">
        <v>1</v>
      </c>
      <c r="H27" t="s">
        <v>1555</v>
      </c>
      <c r="I27" t="s">
        <v>1555</v>
      </c>
      <c r="J27">
        <f t="shared" si="0"/>
        <v>14.4</v>
      </c>
      <c r="K27" t="b">
        <f t="shared" si="1"/>
        <v>1</v>
      </c>
    </row>
    <row r="28" spans="2:11">
      <c r="B28">
        <v>24</v>
      </c>
      <c r="C28" t="s">
        <v>23</v>
      </c>
      <c r="D28">
        <v>158</v>
      </c>
      <c r="E28" t="str">
        <f>IF(VLOOKUP(D28,Couleurs!A:B,2) = 0, "[" &amp; D28 &amp; "]",VLOOKUP(D28,Couleurs!A:B,2))</f>
        <v>VOLCANO</v>
      </c>
      <c r="F28" s="1" t="s">
        <v>156</v>
      </c>
      <c r="G28">
        <v>1</v>
      </c>
      <c r="H28" t="s">
        <v>1575</v>
      </c>
      <c r="I28" t="s">
        <v>1575</v>
      </c>
      <c r="J28">
        <f t="shared" si="0"/>
        <v>13.08</v>
      </c>
      <c r="K28" t="b">
        <f t="shared" si="1"/>
        <v>1</v>
      </c>
    </row>
    <row r="29" spans="2:11">
      <c r="B29">
        <v>25</v>
      </c>
      <c r="C29" t="s">
        <v>24</v>
      </c>
      <c r="D29">
        <v>78</v>
      </c>
      <c r="E29" t="str">
        <f>IF(VLOOKUP(D29,Couleurs!A:B,2) = 0, "[" &amp; D29 &amp; "]",VLOOKUP(D29,Couleurs!A:B,2))</f>
        <v>SAND</v>
      </c>
      <c r="F29" s="1" t="s">
        <v>157</v>
      </c>
      <c r="G29">
        <v>1</v>
      </c>
      <c r="H29" t="s">
        <v>1554</v>
      </c>
      <c r="I29" t="s">
        <v>1554</v>
      </c>
      <c r="J29">
        <f t="shared" si="0"/>
        <v>4.8</v>
      </c>
      <c r="K29" t="b">
        <f t="shared" si="1"/>
        <v>1</v>
      </c>
    </row>
    <row r="30" spans="2:11">
      <c r="B30">
        <v>26</v>
      </c>
      <c r="C30" t="s">
        <v>24</v>
      </c>
      <c r="D30">
        <v>133</v>
      </c>
      <c r="E30" t="str">
        <f>IF(VLOOKUP(D30,Couleurs!A:B,2) = 0, "[" &amp; D30 &amp; "]",VLOOKUP(D30,Couleurs!A:B,2))</f>
        <v>LIGHT GREY</v>
      </c>
      <c r="F30" s="1" t="s">
        <v>157</v>
      </c>
      <c r="G30">
        <v>1</v>
      </c>
      <c r="H30" t="s">
        <v>1554</v>
      </c>
      <c r="I30" t="s">
        <v>1554</v>
      </c>
      <c r="J30">
        <f t="shared" si="0"/>
        <v>4.8</v>
      </c>
      <c r="K30" t="b">
        <f t="shared" si="1"/>
        <v>1</v>
      </c>
    </row>
    <row r="31" spans="2:11">
      <c r="B31">
        <v>27</v>
      </c>
      <c r="C31" t="s">
        <v>25</v>
      </c>
      <c r="D31">
        <v>158</v>
      </c>
      <c r="E31" t="str">
        <f>IF(VLOOKUP(D31,Couleurs!A:B,2) = 0, "[" &amp; D31 &amp; "]",VLOOKUP(D31,Couleurs!A:B,2))</f>
        <v>VOLCANO</v>
      </c>
      <c r="F31" s="1" t="s">
        <v>158</v>
      </c>
      <c r="G31">
        <v>2</v>
      </c>
      <c r="H31" t="s">
        <v>1576</v>
      </c>
      <c r="I31" t="s">
        <v>1571</v>
      </c>
      <c r="J31">
        <f t="shared" si="0"/>
        <v>25.2</v>
      </c>
      <c r="K31" t="b">
        <f t="shared" si="1"/>
        <v>1</v>
      </c>
    </row>
    <row r="32" spans="2:11">
      <c r="B32">
        <v>28</v>
      </c>
      <c r="C32" t="s">
        <v>26</v>
      </c>
      <c r="D32">
        <v>75</v>
      </c>
      <c r="E32" t="str">
        <f>IF(VLOOKUP(D32,Couleurs!A:B,2) = 0, "[" &amp; D32 &amp; "]",VLOOKUP(D32,Couleurs!A:B,2))</f>
        <v>[75]</v>
      </c>
      <c r="F32" s="1" t="s">
        <v>159</v>
      </c>
      <c r="G32">
        <v>3</v>
      </c>
      <c r="H32" t="s">
        <v>1555</v>
      </c>
      <c r="I32" t="s">
        <v>1565</v>
      </c>
      <c r="J32">
        <f t="shared" si="0"/>
        <v>43.2</v>
      </c>
      <c r="K32" t="b">
        <f t="shared" si="1"/>
        <v>1</v>
      </c>
    </row>
    <row r="33" spans="2:13">
      <c r="B33">
        <v>29</v>
      </c>
      <c r="C33" t="s">
        <v>26</v>
      </c>
      <c r="D33">
        <v>422</v>
      </c>
      <c r="E33" t="str">
        <f>IF(VLOOKUP(D33,Couleurs!A:B,2) = 0, "[" &amp; D33 &amp; "]",VLOOKUP(D33,Couleurs!A:B,2))</f>
        <v>SANGRIA</v>
      </c>
      <c r="F33" s="1" t="s">
        <v>159</v>
      </c>
      <c r="G33">
        <v>3</v>
      </c>
      <c r="H33" t="s">
        <v>1555</v>
      </c>
      <c r="I33" t="s">
        <v>1565</v>
      </c>
      <c r="J33">
        <f t="shared" si="0"/>
        <v>43.2</v>
      </c>
      <c r="K33" t="b">
        <f t="shared" si="1"/>
        <v>1</v>
      </c>
    </row>
    <row r="34" spans="2:13">
      <c r="B34">
        <v>30</v>
      </c>
      <c r="C34" t="s">
        <v>1577</v>
      </c>
      <c r="D34">
        <v>55</v>
      </c>
      <c r="E34" t="str">
        <f>IF(VLOOKUP(D34,Couleurs!A:B,2) = 0, "[" &amp; D34 &amp; "]",VLOOKUP(D34,Couleurs!A:B,2))</f>
        <v>BLACK</v>
      </c>
      <c r="F34" s="1" t="s">
        <v>2175</v>
      </c>
      <c r="G34">
        <v>3</v>
      </c>
      <c r="H34" t="s">
        <v>1550</v>
      </c>
      <c r="I34" t="s">
        <v>1551</v>
      </c>
      <c r="J34">
        <f t="shared" si="0"/>
        <v>23.4</v>
      </c>
      <c r="K34" t="b">
        <f t="shared" si="1"/>
        <v>1</v>
      </c>
    </row>
    <row r="35" spans="2:13">
      <c r="B35">
        <v>31</v>
      </c>
      <c r="C35" t="s">
        <v>23</v>
      </c>
      <c r="D35">
        <v>422</v>
      </c>
      <c r="E35" t="str">
        <f>IF(VLOOKUP(D35,Couleurs!A:B,2) = 0, "[" &amp; D35 &amp; "]",VLOOKUP(D35,Couleurs!A:B,2))</f>
        <v>SANGRIA</v>
      </c>
      <c r="F35" s="1" t="s">
        <v>156</v>
      </c>
      <c r="G35">
        <v>2</v>
      </c>
      <c r="H35" t="s">
        <v>1575</v>
      </c>
      <c r="I35" t="s">
        <v>1578</v>
      </c>
      <c r="J35">
        <f t="shared" si="0"/>
        <v>26.16</v>
      </c>
      <c r="K35" t="b">
        <f t="shared" si="1"/>
        <v>1</v>
      </c>
    </row>
    <row r="36" spans="2:13">
      <c r="B36">
        <v>32</v>
      </c>
      <c r="C36" t="s">
        <v>1579</v>
      </c>
      <c r="D36">
        <v>26</v>
      </c>
      <c r="E36" t="str">
        <f>IF(VLOOKUP(D36,Couleurs!A:B,2) = 0, "[" &amp; D36 &amp; "]",VLOOKUP(D36,Couleurs!A:B,2))</f>
        <v>[26]</v>
      </c>
      <c r="F36" s="1" t="s">
        <v>2176</v>
      </c>
      <c r="G36">
        <v>3</v>
      </c>
      <c r="H36" t="s">
        <v>1563</v>
      </c>
      <c r="I36" t="s">
        <v>1580</v>
      </c>
      <c r="J36">
        <f t="shared" si="0"/>
        <v>35.64</v>
      </c>
      <c r="K36" t="b">
        <f t="shared" si="1"/>
        <v>1</v>
      </c>
    </row>
    <row r="37" spans="2:13">
      <c r="B37">
        <v>33</v>
      </c>
      <c r="C37" t="s">
        <v>21</v>
      </c>
      <c r="D37">
        <v>347</v>
      </c>
      <c r="E37" t="str">
        <f>IF(VLOOKUP(D37,Couleurs!A:B,2) = 0, "[" &amp; D37 &amp; "]",VLOOKUP(D37,Couleurs!A:B,2))</f>
        <v>[347]</v>
      </c>
      <c r="F37" s="1" t="s">
        <v>154</v>
      </c>
      <c r="G37">
        <v>4</v>
      </c>
      <c r="H37" t="s">
        <v>1555</v>
      </c>
      <c r="I37" t="s">
        <v>2177</v>
      </c>
      <c r="J37">
        <f t="shared" si="0"/>
        <v>57.6</v>
      </c>
      <c r="K37" t="b">
        <f t="shared" si="1"/>
        <v>1</v>
      </c>
    </row>
    <row r="38" spans="2:13">
      <c r="B38">
        <v>34</v>
      </c>
      <c r="C38" t="s">
        <v>26</v>
      </c>
      <c r="D38">
        <v>483</v>
      </c>
      <c r="E38" t="str">
        <f>IF(VLOOKUP(D38,Couleurs!A:B,2) = 0, "[" &amp; D38 &amp; "]",VLOOKUP(D38,Couleurs!A:B,2))</f>
        <v>[483]</v>
      </c>
      <c r="F38" s="1" t="s">
        <v>159</v>
      </c>
      <c r="G38">
        <v>3</v>
      </c>
      <c r="H38" t="s">
        <v>1555</v>
      </c>
      <c r="I38" t="s">
        <v>1565</v>
      </c>
      <c r="J38">
        <f t="shared" si="0"/>
        <v>43.2</v>
      </c>
      <c r="K38" t="b">
        <f t="shared" si="1"/>
        <v>1</v>
      </c>
    </row>
    <row r="39" spans="2:13">
      <c r="B39">
        <v>35</v>
      </c>
      <c r="C39" t="s">
        <v>21</v>
      </c>
      <c r="D39">
        <v>486</v>
      </c>
      <c r="E39" t="str">
        <f>IF(VLOOKUP(D39,Couleurs!A:B,2) = 0, "[" &amp; D39 &amp; "]",VLOOKUP(D39,Couleurs!A:B,2))</f>
        <v>[486]</v>
      </c>
      <c r="F39" s="1" t="s">
        <v>154</v>
      </c>
      <c r="G39">
        <v>3</v>
      </c>
      <c r="H39" t="s">
        <v>1555</v>
      </c>
      <c r="I39" t="s">
        <v>1565</v>
      </c>
      <c r="J39">
        <f t="shared" si="0"/>
        <v>43.2</v>
      </c>
      <c r="K39" t="b">
        <f t="shared" si="1"/>
        <v>1</v>
      </c>
    </row>
    <row r="40" spans="2:13">
      <c r="B40">
        <v>36</v>
      </c>
      <c r="C40" t="s">
        <v>21</v>
      </c>
      <c r="D40">
        <v>479</v>
      </c>
      <c r="E40" t="str">
        <f>IF(VLOOKUP(D40,Couleurs!A:B,2) = 0, "[" &amp; D40 &amp; "]",VLOOKUP(D40,Couleurs!A:B,2))</f>
        <v>[479]</v>
      </c>
      <c r="F40" s="1" t="s">
        <v>154</v>
      </c>
      <c r="G40">
        <v>3</v>
      </c>
      <c r="H40" t="s">
        <v>1555</v>
      </c>
      <c r="I40" t="s">
        <v>1565</v>
      </c>
      <c r="J40">
        <f t="shared" si="0"/>
        <v>43.2</v>
      </c>
      <c r="K40" t="b">
        <f t="shared" si="1"/>
        <v>1</v>
      </c>
    </row>
    <row r="41" spans="2:13">
      <c r="B41">
        <v>37</v>
      </c>
      <c r="C41" t="s">
        <v>27</v>
      </c>
      <c r="D41">
        <v>36</v>
      </c>
      <c r="E41" t="str">
        <f>IF(VLOOKUP(D41,Couleurs!A:B,2) = 0, "[" &amp; D41 &amp; "]",VLOOKUP(D41,Couleurs!A:B,2))</f>
        <v>[36]</v>
      </c>
      <c r="F41" s="1" t="s">
        <v>160</v>
      </c>
      <c r="G41">
        <v>6</v>
      </c>
      <c r="H41" t="s">
        <v>1581</v>
      </c>
      <c r="I41" t="s">
        <v>1582</v>
      </c>
      <c r="J41">
        <f t="shared" si="0"/>
        <v>11.52</v>
      </c>
      <c r="K41" t="b">
        <f t="shared" si="1"/>
        <v>1</v>
      </c>
      <c r="M41" t="s">
        <v>9</v>
      </c>
    </row>
    <row r="42" spans="2:13">
      <c r="B42">
        <v>38</v>
      </c>
      <c r="C42" t="s">
        <v>1583</v>
      </c>
      <c r="D42">
        <v>473</v>
      </c>
      <c r="E42" t="str">
        <f>IF(VLOOKUP(D42,Couleurs!A:B,2) = 0, "[" &amp; D42 &amp; "]",VLOOKUP(D42,Couleurs!A:B,2))</f>
        <v>[473]</v>
      </c>
      <c r="F42" s="1" t="s">
        <v>2178</v>
      </c>
      <c r="G42">
        <v>4</v>
      </c>
      <c r="H42" t="s">
        <v>1584</v>
      </c>
      <c r="I42" t="s">
        <v>2179</v>
      </c>
      <c r="J42">
        <f t="shared" si="0"/>
        <v>28.32</v>
      </c>
      <c r="K42" t="b">
        <f t="shared" si="1"/>
        <v>1</v>
      </c>
    </row>
    <row r="43" spans="2:13">
      <c r="B43">
        <v>39</v>
      </c>
      <c r="C43" t="s">
        <v>28</v>
      </c>
      <c r="D43">
        <v>227</v>
      </c>
      <c r="E43" t="str">
        <f>IF(VLOOKUP(D43,Couleurs!A:B,2) = 0, "[" &amp; D43 &amp; "]",VLOOKUP(D43,Couleurs!A:B,2))</f>
        <v>[227]</v>
      </c>
      <c r="F43" s="1" t="s">
        <v>161</v>
      </c>
      <c r="G43">
        <v>2</v>
      </c>
      <c r="H43" t="s">
        <v>1556</v>
      </c>
      <c r="I43" t="s">
        <v>1557</v>
      </c>
      <c r="J43">
        <f t="shared" si="0"/>
        <v>26.88</v>
      </c>
      <c r="K43" t="b">
        <f t="shared" si="1"/>
        <v>1</v>
      </c>
    </row>
    <row r="44" spans="2:13">
      <c r="B44">
        <v>40</v>
      </c>
      <c r="C44" t="s">
        <v>29</v>
      </c>
      <c r="D44">
        <v>371</v>
      </c>
      <c r="E44" t="str">
        <f>IF(VLOOKUP(D44,Couleurs!A:B,2) = 0, "[" &amp; D44 &amp; "]",VLOOKUP(D44,Couleurs!A:B,2))</f>
        <v>MILK</v>
      </c>
      <c r="F44" s="1" t="s">
        <v>162</v>
      </c>
      <c r="G44">
        <v>3</v>
      </c>
      <c r="H44" t="s">
        <v>1584</v>
      </c>
      <c r="I44" t="s">
        <v>1585</v>
      </c>
      <c r="J44">
        <f t="shared" si="0"/>
        <v>21.240000000000002</v>
      </c>
      <c r="K44" t="b">
        <f t="shared" si="1"/>
        <v>1</v>
      </c>
    </row>
    <row r="45" spans="2:13">
      <c r="B45">
        <v>41</v>
      </c>
      <c r="C45" t="s">
        <v>7</v>
      </c>
      <c r="D45">
        <v>76</v>
      </c>
      <c r="E45" t="str">
        <f>IF(VLOOKUP(D45,Couleurs!A:B,2) = 0, "[" &amp; D45 &amp; "]",VLOOKUP(D45,Couleurs!A:B,2))</f>
        <v>[76]</v>
      </c>
      <c r="F45" s="1" t="s">
        <v>143</v>
      </c>
      <c r="G45">
        <v>4</v>
      </c>
      <c r="H45" t="s">
        <v>1563</v>
      </c>
      <c r="I45" t="s">
        <v>1586</v>
      </c>
      <c r="J45">
        <f t="shared" si="0"/>
        <v>47.52</v>
      </c>
      <c r="K45" t="b">
        <f t="shared" si="1"/>
        <v>1</v>
      </c>
    </row>
    <row r="46" spans="2:13">
      <c r="B46">
        <v>42</v>
      </c>
      <c r="C46" t="s">
        <v>30</v>
      </c>
      <c r="D46">
        <v>55</v>
      </c>
      <c r="E46" t="str">
        <f>IF(VLOOKUP(D46,Couleurs!A:B,2) = 0, "[" &amp; D46 &amp; "]",VLOOKUP(D46,Couleurs!A:B,2))</f>
        <v>BLACK</v>
      </c>
      <c r="F46" s="1" t="s">
        <v>163</v>
      </c>
      <c r="G46">
        <v>3</v>
      </c>
      <c r="H46" t="s">
        <v>1587</v>
      </c>
      <c r="I46" t="s">
        <v>1588</v>
      </c>
      <c r="J46">
        <f t="shared" si="0"/>
        <v>88.199999999999989</v>
      </c>
      <c r="K46" t="b">
        <f t="shared" si="1"/>
        <v>1</v>
      </c>
    </row>
    <row r="47" spans="2:13">
      <c r="B47">
        <v>43</v>
      </c>
      <c r="C47" t="s">
        <v>29</v>
      </c>
      <c r="D47">
        <v>89</v>
      </c>
      <c r="E47" t="str">
        <f>IF(VLOOKUP(D47,Couleurs!A:B,2) = 0, "[" &amp; D47 &amp; "]",VLOOKUP(D47,Couleurs!A:B,2))</f>
        <v>[89]</v>
      </c>
      <c r="F47" s="1" t="s">
        <v>162</v>
      </c>
      <c r="G47">
        <v>2</v>
      </c>
      <c r="H47" t="s">
        <v>1584</v>
      </c>
      <c r="I47" t="s">
        <v>1589</v>
      </c>
      <c r="J47">
        <f t="shared" si="0"/>
        <v>14.16</v>
      </c>
      <c r="K47" t="b">
        <f t="shared" si="1"/>
        <v>1</v>
      </c>
    </row>
    <row r="48" spans="2:13">
      <c r="B48">
        <v>44</v>
      </c>
      <c r="C48" t="s">
        <v>1590</v>
      </c>
      <c r="D48">
        <v>241</v>
      </c>
      <c r="E48" t="str">
        <f>IF(VLOOKUP(D48,Couleurs!A:B,2) = 0, "[" &amp; D48 &amp; "]",VLOOKUP(D48,Couleurs!A:B,2))</f>
        <v>[241]</v>
      </c>
      <c r="F48" s="1" t="s">
        <v>2180</v>
      </c>
      <c r="G48">
        <v>4</v>
      </c>
      <c r="H48">
        <v>18</v>
      </c>
      <c r="I48">
        <v>72</v>
      </c>
      <c r="J48">
        <f t="shared" si="0"/>
        <v>72</v>
      </c>
      <c r="K48" t="b">
        <f t="shared" si="1"/>
        <v>1</v>
      </c>
    </row>
    <row r="49" spans="2:11">
      <c r="B49">
        <v>45</v>
      </c>
      <c r="C49" t="s">
        <v>0</v>
      </c>
      <c r="D49">
        <v>75</v>
      </c>
      <c r="E49" t="str">
        <f>IF(VLOOKUP(D49,Couleurs!A:B,2) = 0, "[" &amp; D49 &amp; "]",VLOOKUP(D49,Couleurs!A:B,2))</f>
        <v>[75]</v>
      </c>
      <c r="F49" s="1" t="s">
        <v>136</v>
      </c>
      <c r="G49">
        <v>3</v>
      </c>
      <c r="H49" t="s">
        <v>1550</v>
      </c>
      <c r="I49" t="s">
        <v>1551</v>
      </c>
      <c r="J49">
        <f t="shared" si="0"/>
        <v>23.4</v>
      </c>
      <c r="K49" t="b">
        <f t="shared" si="1"/>
        <v>1</v>
      </c>
    </row>
    <row r="50" spans="2:11">
      <c r="B50">
        <v>46</v>
      </c>
      <c r="C50" t="s">
        <v>2</v>
      </c>
      <c r="D50">
        <v>76</v>
      </c>
      <c r="E50" t="str">
        <f>IF(VLOOKUP(D50,Couleurs!A:B,2) = 0, "[" &amp; D50 &amp; "]",VLOOKUP(D50,Couleurs!A:B,2))</f>
        <v>[76]</v>
      </c>
      <c r="F50" s="1" t="s">
        <v>138</v>
      </c>
      <c r="G50">
        <v>3</v>
      </c>
      <c r="H50" t="s">
        <v>1554</v>
      </c>
      <c r="I50" t="s">
        <v>1555</v>
      </c>
      <c r="J50">
        <f t="shared" si="0"/>
        <v>14.399999999999999</v>
      </c>
      <c r="K50" t="b">
        <f t="shared" si="1"/>
        <v>1</v>
      </c>
    </row>
    <row r="51" spans="2:11">
      <c r="B51">
        <v>47</v>
      </c>
      <c r="C51" t="s">
        <v>3</v>
      </c>
      <c r="D51">
        <v>471</v>
      </c>
      <c r="E51" t="str">
        <f>IF(VLOOKUP(D51,Couleurs!A:B,2) = 0, "[" &amp; D51 &amp; "]",VLOOKUP(D51,Couleurs!A:B,2))</f>
        <v>[471]</v>
      </c>
      <c r="F51" s="1" t="s">
        <v>139</v>
      </c>
      <c r="G51">
        <v>2</v>
      </c>
      <c r="H51" t="s">
        <v>1556</v>
      </c>
      <c r="I51" t="s">
        <v>1557</v>
      </c>
      <c r="J51">
        <f t="shared" si="0"/>
        <v>26.88</v>
      </c>
      <c r="K51" t="b">
        <f t="shared" si="1"/>
        <v>1</v>
      </c>
    </row>
    <row r="52" spans="2:11">
      <c r="B52">
        <v>48</v>
      </c>
      <c r="C52" t="s">
        <v>4</v>
      </c>
      <c r="D52">
        <v>76</v>
      </c>
      <c r="E52" t="str">
        <f>IF(VLOOKUP(D52,Couleurs!A:B,2) = 0, "[" &amp; D52 &amp; "]",VLOOKUP(D52,Couleurs!A:B,2))</f>
        <v>[76]</v>
      </c>
      <c r="F52" s="1" t="s">
        <v>140</v>
      </c>
      <c r="G52">
        <v>2</v>
      </c>
      <c r="H52" t="s">
        <v>1558</v>
      </c>
      <c r="I52" t="s">
        <v>1559</v>
      </c>
      <c r="J52">
        <f t="shared" si="0"/>
        <v>36.24</v>
      </c>
      <c r="K52" t="b">
        <f t="shared" si="1"/>
        <v>1</v>
      </c>
    </row>
    <row r="53" spans="2:11">
      <c r="B53">
        <v>49</v>
      </c>
      <c r="C53" t="s">
        <v>8</v>
      </c>
      <c r="D53">
        <v>422</v>
      </c>
      <c r="E53" t="str">
        <f>IF(VLOOKUP(D53,Couleurs!A:B,2) = 0, "[" &amp; D53 &amp; "]",VLOOKUP(D53,Couleurs!A:B,2))</f>
        <v>SANGRIA</v>
      </c>
      <c r="F53" s="1" t="s">
        <v>144</v>
      </c>
      <c r="G53">
        <v>2</v>
      </c>
      <c r="H53" t="s">
        <v>1550</v>
      </c>
      <c r="I53" t="s">
        <v>1564</v>
      </c>
      <c r="J53">
        <f t="shared" si="0"/>
        <v>15.6</v>
      </c>
      <c r="K53" t="b">
        <f t="shared" si="1"/>
        <v>1</v>
      </c>
    </row>
    <row r="54" spans="2:11">
      <c r="B54">
        <v>50</v>
      </c>
      <c r="C54" t="s">
        <v>13</v>
      </c>
      <c r="D54">
        <v>76</v>
      </c>
      <c r="E54" t="str">
        <f>IF(VLOOKUP(D54,Couleurs!A:B,2) = 0, "[" &amp; D54 &amp; "]",VLOOKUP(D54,Couleurs!A:B,2))</f>
        <v>[76]</v>
      </c>
      <c r="F54" s="1" t="s">
        <v>164</v>
      </c>
      <c r="G54">
        <v>2</v>
      </c>
      <c r="H54" t="s">
        <v>1591</v>
      </c>
      <c r="I54" t="s">
        <v>1592</v>
      </c>
      <c r="J54">
        <f t="shared" si="0"/>
        <v>19.440000000000001</v>
      </c>
      <c r="K54" t="b">
        <f t="shared" si="1"/>
        <v>1</v>
      </c>
    </row>
    <row r="55" spans="2:11">
      <c r="B55">
        <v>51</v>
      </c>
      <c r="C55" t="s">
        <v>14</v>
      </c>
      <c r="D55">
        <v>17</v>
      </c>
      <c r="E55" t="str">
        <f>IF(VLOOKUP(D55,Couleurs!A:B,2) = 0, "[" &amp; D55 &amp; "]",VLOOKUP(D55,Couleurs!A:B,2))</f>
        <v>NAVY BLUE</v>
      </c>
      <c r="F55" s="1" t="s">
        <v>165</v>
      </c>
      <c r="G55">
        <v>2</v>
      </c>
      <c r="H55" t="s">
        <v>1555</v>
      </c>
      <c r="I55" t="s">
        <v>1574</v>
      </c>
      <c r="J55">
        <f t="shared" si="0"/>
        <v>28.8</v>
      </c>
      <c r="K55" t="b">
        <f t="shared" si="1"/>
        <v>1</v>
      </c>
    </row>
    <row r="56" spans="2:11">
      <c r="B56">
        <v>52</v>
      </c>
      <c r="C56" t="s">
        <v>1593</v>
      </c>
      <c r="D56">
        <v>76</v>
      </c>
      <c r="E56" t="str">
        <f>IF(VLOOKUP(D56,Couleurs!A:B,2) = 0, "[" &amp; D56 &amp; "]",VLOOKUP(D56,Couleurs!A:B,2))</f>
        <v>[76]</v>
      </c>
      <c r="F56" s="1" t="s">
        <v>2181</v>
      </c>
      <c r="G56">
        <v>2</v>
      </c>
      <c r="H56" t="s">
        <v>1552</v>
      </c>
      <c r="I56" t="s">
        <v>1562</v>
      </c>
      <c r="J56">
        <f t="shared" si="0"/>
        <v>25.44</v>
      </c>
      <c r="K56" t="b">
        <f t="shared" si="1"/>
        <v>1</v>
      </c>
    </row>
    <row r="57" spans="2:11">
      <c r="B57">
        <v>53</v>
      </c>
      <c r="C57" t="s">
        <v>1579</v>
      </c>
      <c r="D57">
        <v>479</v>
      </c>
      <c r="E57" t="str">
        <f>IF(VLOOKUP(D57,Couleurs!A:B,2) = 0, "[" &amp; D57 &amp; "]",VLOOKUP(D57,Couleurs!A:B,2))</f>
        <v>[479]</v>
      </c>
      <c r="F57" s="1" t="s">
        <v>2176</v>
      </c>
      <c r="G57">
        <v>3</v>
      </c>
      <c r="H57" t="s">
        <v>1563</v>
      </c>
      <c r="I57" t="s">
        <v>1580</v>
      </c>
      <c r="J57">
        <f t="shared" si="0"/>
        <v>35.64</v>
      </c>
      <c r="K57" t="b">
        <f t="shared" si="1"/>
        <v>1</v>
      </c>
    </row>
    <row r="58" spans="2:11">
      <c r="B58">
        <v>54</v>
      </c>
      <c r="C58" t="s">
        <v>15</v>
      </c>
      <c r="D58">
        <v>75</v>
      </c>
      <c r="E58" t="str">
        <f>IF(VLOOKUP(D58,Couleurs!A:B,2) = 0, "[" &amp; D58 &amp; "]",VLOOKUP(D58,Couleurs!A:B,2))</f>
        <v>[75]</v>
      </c>
      <c r="F58" s="1" t="s">
        <v>166</v>
      </c>
      <c r="G58">
        <v>2</v>
      </c>
      <c r="H58" t="s">
        <v>1594</v>
      </c>
      <c r="I58" t="s">
        <v>1595</v>
      </c>
      <c r="J58">
        <f t="shared" si="0"/>
        <v>19.559999999999999</v>
      </c>
      <c r="K58" t="b">
        <f t="shared" si="1"/>
        <v>1</v>
      </c>
    </row>
    <row r="59" spans="2:11">
      <c r="B59">
        <v>55</v>
      </c>
      <c r="C59" t="s">
        <v>31</v>
      </c>
      <c r="D59">
        <v>75</v>
      </c>
      <c r="E59" t="str">
        <f>IF(VLOOKUP(D59,Couleurs!A:B,2) = 0, "[" &amp; D59 &amp; "]",VLOOKUP(D59,Couleurs!A:B,2))</f>
        <v>[75]</v>
      </c>
      <c r="F59" s="1" t="s">
        <v>167</v>
      </c>
      <c r="G59">
        <v>2</v>
      </c>
      <c r="H59" t="s">
        <v>1596</v>
      </c>
      <c r="I59" t="s">
        <v>1597</v>
      </c>
      <c r="J59">
        <f t="shared" si="0"/>
        <v>21.6</v>
      </c>
      <c r="K59" t="b">
        <f t="shared" si="1"/>
        <v>1</v>
      </c>
    </row>
    <row r="60" spans="2:11">
      <c r="B60">
        <v>56</v>
      </c>
      <c r="C60" t="s">
        <v>32</v>
      </c>
      <c r="D60">
        <v>479</v>
      </c>
      <c r="E60" t="str">
        <f>IF(VLOOKUP(D60,Couleurs!A:B,2) = 0, "[" &amp; D60 &amp; "]",VLOOKUP(D60,Couleurs!A:B,2))</f>
        <v>[479]</v>
      </c>
      <c r="F60" s="1" t="s">
        <v>168</v>
      </c>
      <c r="G60">
        <v>2</v>
      </c>
      <c r="H60" t="s">
        <v>1598</v>
      </c>
      <c r="I60" t="s">
        <v>1599</v>
      </c>
      <c r="J60">
        <f t="shared" si="0"/>
        <v>9.1199999999999992</v>
      </c>
      <c r="K60" t="b">
        <f t="shared" si="1"/>
        <v>1</v>
      </c>
    </row>
    <row r="61" spans="2:11">
      <c r="B61">
        <v>57</v>
      </c>
      <c r="C61" t="s">
        <v>10</v>
      </c>
      <c r="D61">
        <v>55</v>
      </c>
      <c r="E61" t="str">
        <f>IF(VLOOKUP(D61,Couleurs!A:B,2) = 0, "[" &amp; D61 &amp; "]",VLOOKUP(D61,Couleurs!A:B,2))</f>
        <v>BLACK</v>
      </c>
      <c r="F61" s="1" t="s">
        <v>146</v>
      </c>
      <c r="G61">
        <v>2</v>
      </c>
      <c r="H61" t="s">
        <v>1566</v>
      </c>
      <c r="I61" t="s">
        <v>1555</v>
      </c>
      <c r="J61">
        <f t="shared" si="0"/>
        <v>14.4</v>
      </c>
      <c r="K61" t="b">
        <f t="shared" si="1"/>
        <v>1</v>
      </c>
    </row>
    <row r="62" spans="2:11">
      <c r="B62">
        <v>58</v>
      </c>
      <c r="C62" t="s">
        <v>33</v>
      </c>
      <c r="D62">
        <v>483</v>
      </c>
      <c r="E62" t="str">
        <f>IF(VLOOKUP(D62,Couleurs!A:B,2) = 0, "[" &amp; D62 &amp; "]",VLOOKUP(D62,Couleurs!A:B,2))</f>
        <v>[483]</v>
      </c>
      <c r="F62" s="1" t="s">
        <v>169</v>
      </c>
      <c r="G62">
        <v>6</v>
      </c>
      <c r="H62">
        <v>3</v>
      </c>
      <c r="I62">
        <v>18</v>
      </c>
      <c r="J62">
        <f t="shared" si="0"/>
        <v>18</v>
      </c>
      <c r="K62" t="b">
        <f t="shared" si="1"/>
        <v>1</v>
      </c>
    </row>
    <row r="63" spans="2:11">
      <c r="B63">
        <v>59</v>
      </c>
      <c r="C63" t="s">
        <v>24</v>
      </c>
      <c r="D63">
        <v>55</v>
      </c>
      <c r="E63" t="str">
        <f>IF(VLOOKUP(D63,Couleurs!A:B,2) = 0, "[" &amp; D63 &amp; "]",VLOOKUP(D63,Couleurs!A:B,2))</f>
        <v>BLACK</v>
      </c>
      <c r="F63" s="1" t="s">
        <v>157</v>
      </c>
      <c r="G63">
        <v>1</v>
      </c>
      <c r="H63" t="s">
        <v>1554</v>
      </c>
      <c r="I63" t="s">
        <v>1554</v>
      </c>
      <c r="J63">
        <f t="shared" si="0"/>
        <v>4.8</v>
      </c>
      <c r="K63" t="b">
        <f t="shared" si="1"/>
        <v>1</v>
      </c>
    </row>
    <row r="64" spans="2:11">
      <c r="B64">
        <v>60</v>
      </c>
      <c r="C64" t="s">
        <v>24</v>
      </c>
      <c r="D64">
        <v>371</v>
      </c>
      <c r="E64" t="str">
        <f>IF(VLOOKUP(D64,Couleurs!A:B,2) = 0, "[" &amp; D64 &amp; "]",VLOOKUP(D64,Couleurs!A:B,2))</f>
        <v>MILK</v>
      </c>
      <c r="F64" s="1" t="s">
        <v>157</v>
      </c>
      <c r="G64">
        <v>1</v>
      </c>
      <c r="H64" t="s">
        <v>1554</v>
      </c>
      <c r="I64" t="s">
        <v>1554</v>
      </c>
      <c r="J64">
        <f t="shared" si="0"/>
        <v>4.8</v>
      </c>
      <c r="K64" t="b">
        <f t="shared" si="1"/>
        <v>1</v>
      </c>
    </row>
    <row r="65" spans="2:11">
      <c r="B65">
        <v>61</v>
      </c>
      <c r="C65" t="s">
        <v>23</v>
      </c>
      <c r="D65">
        <v>75</v>
      </c>
      <c r="E65" t="str">
        <f>IF(VLOOKUP(D65,Couleurs!A:B,2) = 0, "[" &amp; D65 &amp; "]",VLOOKUP(D65,Couleurs!A:B,2))</f>
        <v>[75]</v>
      </c>
      <c r="F65" s="1" t="s">
        <v>156</v>
      </c>
      <c r="G65">
        <v>2</v>
      </c>
      <c r="H65" t="s">
        <v>1575</v>
      </c>
      <c r="I65" t="s">
        <v>1578</v>
      </c>
      <c r="J65">
        <f t="shared" si="0"/>
        <v>26.16</v>
      </c>
      <c r="K65" t="b">
        <f t="shared" si="1"/>
        <v>1</v>
      </c>
    </row>
    <row r="66" spans="2:11">
      <c r="B66">
        <v>62</v>
      </c>
      <c r="C66" t="s">
        <v>1600</v>
      </c>
      <c r="D66">
        <v>75</v>
      </c>
      <c r="E66" t="str">
        <f>IF(VLOOKUP(D66,Couleurs!A:B,2) = 0, "[" &amp; D66 &amp; "]",VLOOKUP(D66,Couleurs!A:B,2))</f>
        <v>[75]</v>
      </c>
      <c r="F66" s="1" t="s">
        <v>2182</v>
      </c>
      <c r="G66">
        <v>3</v>
      </c>
      <c r="H66" t="s">
        <v>1601</v>
      </c>
      <c r="I66" t="s">
        <v>1602</v>
      </c>
      <c r="J66">
        <f t="shared" si="0"/>
        <v>19.799999999999997</v>
      </c>
      <c r="K66" t="b">
        <f t="shared" si="1"/>
        <v>1</v>
      </c>
    </row>
    <row r="67" spans="2:11">
      <c r="B67">
        <v>63</v>
      </c>
      <c r="C67" t="s">
        <v>1603</v>
      </c>
      <c r="D67">
        <v>158</v>
      </c>
      <c r="E67" t="str">
        <f>IF(VLOOKUP(D67,Couleurs!A:B,2) = 0, "[" &amp; D67 &amp; "]",VLOOKUP(D67,Couleurs!A:B,2))</f>
        <v>VOLCANO</v>
      </c>
      <c r="F67" s="1" t="s">
        <v>1604</v>
      </c>
      <c r="G67">
        <v>2</v>
      </c>
      <c r="H67" t="s">
        <v>1605</v>
      </c>
      <c r="I67" t="s">
        <v>1606</v>
      </c>
      <c r="J67">
        <f t="shared" si="0"/>
        <v>27.84</v>
      </c>
      <c r="K67" t="b">
        <f t="shared" si="1"/>
        <v>1</v>
      </c>
    </row>
    <row r="68" spans="2:11">
      <c r="B68">
        <v>64</v>
      </c>
      <c r="C68" t="s">
        <v>34</v>
      </c>
      <c r="D68">
        <v>158</v>
      </c>
      <c r="E68" t="str">
        <f>IF(VLOOKUP(D68,Couleurs!A:B,2) = 0, "[" &amp; D68 &amp; "]",VLOOKUP(D68,Couleurs!A:B,2))</f>
        <v>VOLCANO</v>
      </c>
      <c r="F68" s="1" t="s">
        <v>170</v>
      </c>
      <c r="G68">
        <v>2</v>
      </c>
      <c r="H68" t="s">
        <v>1607</v>
      </c>
      <c r="I68" t="s">
        <v>1608</v>
      </c>
      <c r="J68">
        <f t="shared" si="0"/>
        <v>22.08</v>
      </c>
      <c r="K68" t="b">
        <f t="shared" si="1"/>
        <v>1</v>
      </c>
    </row>
    <row r="69" spans="2:11">
      <c r="B69">
        <v>65</v>
      </c>
      <c r="C69" t="s">
        <v>1579</v>
      </c>
      <c r="D69">
        <v>55</v>
      </c>
      <c r="E69" t="str">
        <f>IF(VLOOKUP(D69,Couleurs!A:B,2) = 0, "[" &amp; D69 &amp; "]",VLOOKUP(D69,Couleurs!A:B,2))</f>
        <v>BLACK</v>
      </c>
      <c r="F69" s="1" t="s">
        <v>2176</v>
      </c>
      <c r="G69">
        <v>2</v>
      </c>
      <c r="H69" t="s">
        <v>1563</v>
      </c>
      <c r="I69" t="s">
        <v>1609</v>
      </c>
      <c r="J69">
        <f t="shared" ref="J69:J132" si="2">G69*H69</f>
        <v>23.76</v>
      </c>
      <c r="K69" t="b">
        <f t="shared" ref="K69:K132" si="3">(0+I69)=J69</f>
        <v>1</v>
      </c>
    </row>
    <row r="70" spans="2:11">
      <c r="B70">
        <v>66</v>
      </c>
      <c r="C70" t="s">
        <v>1610</v>
      </c>
      <c r="D70">
        <v>371</v>
      </c>
      <c r="E70" t="str">
        <f>IF(VLOOKUP(D70,Couleurs!A:B,2) = 0, "[" &amp; D70 &amp; "]",VLOOKUP(D70,Couleurs!A:B,2))</f>
        <v>MILK</v>
      </c>
      <c r="F70" s="1" t="s">
        <v>1611</v>
      </c>
      <c r="G70">
        <v>3</v>
      </c>
      <c r="H70" t="s">
        <v>1563</v>
      </c>
      <c r="I70" t="s">
        <v>1580</v>
      </c>
      <c r="J70">
        <f t="shared" si="2"/>
        <v>35.64</v>
      </c>
      <c r="K70" t="b">
        <f t="shared" si="3"/>
        <v>1</v>
      </c>
    </row>
    <row r="71" spans="2:11">
      <c r="B71">
        <v>67</v>
      </c>
      <c r="C71" t="s">
        <v>1610</v>
      </c>
      <c r="D71">
        <v>17</v>
      </c>
      <c r="E71" t="str">
        <f>IF(VLOOKUP(D71,Couleurs!A:B,2) = 0, "[" &amp; D71 &amp; "]",VLOOKUP(D71,Couleurs!A:B,2))</f>
        <v>NAVY BLUE</v>
      </c>
      <c r="F71" s="1" t="s">
        <v>1611</v>
      </c>
      <c r="G71">
        <v>2</v>
      </c>
      <c r="H71" t="s">
        <v>1563</v>
      </c>
      <c r="I71" t="s">
        <v>1609</v>
      </c>
      <c r="J71">
        <f t="shared" si="2"/>
        <v>23.76</v>
      </c>
      <c r="K71" t="b">
        <f t="shared" si="3"/>
        <v>1</v>
      </c>
    </row>
    <row r="72" spans="2:11">
      <c r="B72">
        <v>68</v>
      </c>
      <c r="C72" t="s">
        <v>22</v>
      </c>
      <c r="D72">
        <v>347</v>
      </c>
      <c r="E72" t="str">
        <f>IF(VLOOKUP(D72,Couleurs!A:B,2) = 0, "[" &amp; D72 &amp; "]",VLOOKUP(D72,Couleurs!A:B,2))</f>
        <v>[347]</v>
      </c>
      <c r="F72" s="1" t="s">
        <v>155</v>
      </c>
      <c r="G72">
        <v>2</v>
      </c>
      <c r="H72" t="s">
        <v>1555</v>
      </c>
      <c r="I72" t="s">
        <v>1574</v>
      </c>
      <c r="J72">
        <f t="shared" si="2"/>
        <v>28.8</v>
      </c>
      <c r="K72" t="b">
        <f t="shared" si="3"/>
        <v>1</v>
      </c>
    </row>
    <row r="73" spans="2:11">
      <c r="B73">
        <v>69</v>
      </c>
      <c r="C73" t="s">
        <v>34</v>
      </c>
      <c r="D73">
        <v>26</v>
      </c>
      <c r="E73" t="str">
        <f>IF(VLOOKUP(D73,Couleurs!A:B,2) = 0, "[" &amp; D73 &amp; "]",VLOOKUP(D73,Couleurs!A:B,2))</f>
        <v>[26]</v>
      </c>
      <c r="F73" s="1" t="s">
        <v>170</v>
      </c>
      <c r="G73">
        <v>2</v>
      </c>
      <c r="H73" t="s">
        <v>1607</v>
      </c>
      <c r="I73" t="s">
        <v>1608</v>
      </c>
      <c r="J73">
        <f t="shared" si="2"/>
        <v>22.08</v>
      </c>
      <c r="K73" t="b">
        <f t="shared" si="3"/>
        <v>1</v>
      </c>
    </row>
    <row r="74" spans="2:11">
      <c r="B74">
        <v>70</v>
      </c>
      <c r="C74" t="s">
        <v>1603</v>
      </c>
      <c r="D74">
        <v>371</v>
      </c>
      <c r="E74" t="str">
        <f>IF(VLOOKUP(D74,Couleurs!A:B,2) = 0, "[" &amp; D74 &amp; "]",VLOOKUP(D74,Couleurs!A:B,2))</f>
        <v>MILK</v>
      </c>
      <c r="F74" s="1" t="s">
        <v>1604</v>
      </c>
      <c r="G74">
        <v>2</v>
      </c>
      <c r="H74" t="s">
        <v>1605</v>
      </c>
      <c r="I74" t="s">
        <v>1606</v>
      </c>
      <c r="J74">
        <f t="shared" si="2"/>
        <v>27.84</v>
      </c>
      <c r="K74" t="b">
        <f t="shared" si="3"/>
        <v>1</v>
      </c>
    </row>
    <row r="75" spans="2:11">
      <c r="B75">
        <v>71</v>
      </c>
      <c r="C75" t="s">
        <v>27</v>
      </c>
      <c r="D75">
        <v>60</v>
      </c>
      <c r="E75" t="str">
        <f>IF(VLOOKUP(D75,Couleurs!A:B,2) = 0, "[" &amp; D75 &amp; "]",VLOOKUP(D75,Couleurs!A:B,2))</f>
        <v>BLACK</v>
      </c>
      <c r="F75" s="1" t="s">
        <v>160</v>
      </c>
      <c r="G75">
        <v>6</v>
      </c>
      <c r="H75" t="s">
        <v>1581</v>
      </c>
      <c r="I75" t="s">
        <v>1582</v>
      </c>
      <c r="J75">
        <f t="shared" si="2"/>
        <v>11.52</v>
      </c>
      <c r="K75" t="b">
        <f t="shared" si="3"/>
        <v>1</v>
      </c>
    </row>
    <row r="76" spans="2:11">
      <c r="B76">
        <v>72</v>
      </c>
      <c r="C76" t="s">
        <v>35</v>
      </c>
      <c r="D76">
        <v>36</v>
      </c>
      <c r="E76" t="str">
        <f>IF(VLOOKUP(D76,Couleurs!A:B,2) = 0, "[" &amp; D76 &amp; "]",VLOOKUP(D76,Couleurs!A:B,2))</f>
        <v>[36]</v>
      </c>
      <c r="F76" s="1" t="s">
        <v>171</v>
      </c>
      <c r="G76">
        <v>6</v>
      </c>
      <c r="H76" t="s">
        <v>1612</v>
      </c>
      <c r="I76" t="s">
        <v>1613</v>
      </c>
      <c r="J76">
        <f t="shared" si="2"/>
        <v>15.120000000000001</v>
      </c>
      <c r="K76" t="b">
        <f t="shared" si="3"/>
        <v>1</v>
      </c>
    </row>
    <row r="77" spans="2:11">
      <c r="B77">
        <v>73</v>
      </c>
      <c r="C77" t="s">
        <v>9</v>
      </c>
      <c r="D77">
        <v>55</v>
      </c>
      <c r="E77" t="str">
        <f>IF(VLOOKUP(D77,Couleurs!A:B,2) = 0, "[" &amp; D77 &amp; "]",VLOOKUP(D77,Couleurs!A:B,2))</f>
        <v>BLACK</v>
      </c>
      <c r="F77" s="1" t="s">
        <v>145</v>
      </c>
      <c r="G77">
        <v>4</v>
      </c>
      <c r="H77" t="s">
        <v>1555</v>
      </c>
      <c r="I77" t="s">
        <v>2177</v>
      </c>
      <c r="J77">
        <f t="shared" si="2"/>
        <v>57.6</v>
      </c>
      <c r="K77" t="b">
        <f t="shared" si="3"/>
        <v>1</v>
      </c>
    </row>
    <row r="78" spans="2:11">
      <c r="B78">
        <v>74</v>
      </c>
      <c r="C78" t="s">
        <v>36</v>
      </c>
      <c r="D78">
        <v>227</v>
      </c>
      <c r="E78" t="str">
        <f>IF(VLOOKUP(D78,Couleurs!A:B,2) = 0, "[" &amp; D78 &amp; "]",VLOOKUP(D78,Couleurs!A:B,2))</f>
        <v>[227]</v>
      </c>
      <c r="F78" s="1" t="s">
        <v>172</v>
      </c>
      <c r="G78">
        <v>2</v>
      </c>
      <c r="H78" t="s">
        <v>1596</v>
      </c>
      <c r="I78" t="s">
        <v>1597</v>
      </c>
      <c r="J78">
        <f t="shared" si="2"/>
        <v>21.6</v>
      </c>
      <c r="K78" t="b">
        <f t="shared" si="3"/>
        <v>1</v>
      </c>
    </row>
    <row r="79" spans="2:11">
      <c r="B79">
        <v>75</v>
      </c>
      <c r="C79" t="s">
        <v>37</v>
      </c>
      <c r="D79">
        <v>480</v>
      </c>
      <c r="E79" t="str">
        <f>IF(VLOOKUP(D79,Couleurs!A:B,2) = 0, "[" &amp; D79 &amp; "]",VLOOKUP(D79,Couleurs!A:B,2))</f>
        <v>[480]</v>
      </c>
      <c r="F79" s="1" t="s">
        <v>173</v>
      </c>
      <c r="G79">
        <v>2</v>
      </c>
      <c r="H79" t="s">
        <v>1596</v>
      </c>
      <c r="I79" t="s">
        <v>1597</v>
      </c>
      <c r="J79">
        <f t="shared" si="2"/>
        <v>21.6</v>
      </c>
      <c r="K79" t="b">
        <f t="shared" si="3"/>
        <v>1</v>
      </c>
    </row>
    <row r="80" spans="2:11">
      <c r="B80">
        <v>76</v>
      </c>
      <c r="C80" t="s">
        <v>19</v>
      </c>
      <c r="D80">
        <v>55</v>
      </c>
      <c r="E80" t="str">
        <f>IF(VLOOKUP(D80,Couleurs!A:B,2) = 0, "[" &amp; D80 &amp; "]",VLOOKUP(D80,Couleurs!A:B,2))</f>
        <v>BLACK</v>
      </c>
      <c r="F80" s="1" t="s">
        <v>152</v>
      </c>
      <c r="G80">
        <v>4</v>
      </c>
      <c r="H80" t="s">
        <v>1573</v>
      </c>
      <c r="I80" t="s">
        <v>2183</v>
      </c>
      <c r="J80">
        <f t="shared" si="2"/>
        <v>38.4</v>
      </c>
      <c r="K80" t="b">
        <f t="shared" si="3"/>
        <v>1</v>
      </c>
    </row>
    <row r="81" spans="2:11">
      <c r="B81">
        <v>77</v>
      </c>
      <c r="C81" t="s">
        <v>1614</v>
      </c>
      <c r="D81">
        <v>36</v>
      </c>
      <c r="E81" t="str">
        <f>IF(VLOOKUP(D81,Couleurs!A:B,2) = 0, "[" &amp; D81 &amp; "]",VLOOKUP(D81,Couleurs!A:B,2))</f>
        <v>[36]</v>
      </c>
      <c r="F81" s="1" t="s">
        <v>1615</v>
      </c>
      <c r="G81">
        <v>2</v>
      </c>
      <c r="H81" t="s">
        <v>1552</v>
      </c>
      <c r="I81" t="s">
        <v>1562</v>
      </c>
      <c r="J81">
        <f t="shared" si="2"/>
        <v>25.44</v>
      </c>
      <c r="K81" t="b">
        <f t="shared" si="3"/>
        <v>1</v>
      </c>
    </row>
    <row r="82" spans="2:11">
      <c r="B82">
        <v>78</v>
      </c>
      <c r="C82" t="s">
        <v>11</v>
      </c>
      <c r="D82">
        <v>480</v>
      </c>
      <c r="E82" t="str">
        <f>IF(VLOOKUP(D82,Couleurs!A:B,2) = 0, "[" &amp; D82 &amp; "]",VLOOKUP(D82,Couleurs!A:B,2))</f>
        <v>[480]</v>
      </c>
      <c r="F82" s="1" t="s">
        <v>147</v>
      </c>
      <c r="G82">
        <v>2</v>
      </c>
      <c r="H82" t="s">
        <v>1552</v>
      </c>
      <c r="I82" t="s">
        <v>1562</v>
      </c>
      <c r="J82">
        <f t="shared" si="2"/>
        <v>25.44</v>
      </c>
      <c r="K82" t="b">
        <f t="shared" si="3"/>
        <v>1</v>
      </c>
    </row>
    <row r="83" spans="2:11">
      <c r="B83">
        <v>79</v>
      </c>
      <c r="C83" t="s">
        <v>1616</v>
      </c>
      <c r="D83">
        <v>227</v>
      </c>
      <c r="E83" t="str">
        <f>IF(VLOOKUP(D83,Couleurs!A:B,2) = 0, "[" &amp; D83 &amp; "]",VLOOKUP(D83,Couleurs!A:B,2))</f>
        <v>[227]</v>
      </c>
      <c r="F83" s="1" t="s">
        <v>2184</v>
      </c>
      <c r="G83">
        <v>2</v>
      </c>
      <c r="H83" t="s">
        <v>1596</v>
      </c>
      <c r="I83" t="s">
        <v>1597</v>
      </c>
      <c r="J83">
        <f t="shared" si="2"/>
        <v>21.6</v>
      </c>
      <c r="K83" t="b">
        <f t="shared" si="3"/>
        <v>1</v>
      </c>
    </row>
    <row r="84" spans="2:11">
      <c r="B84">
        <v>80</v>
      </c>
      <c r="C84" t="s">
        <v>38</v>
      </c>
      <c r="D84">
        <v>480</v>
      </c>
      <c r="E84" t="str">
        <f>IF(VLOOKUP(D84,Couleurs!A:B,2) = 0, "[" &amp; D84 &amp; "]",VLOOKUP(D84,Couleurs!A:B,2))</f>
        <v>[480]</v>
      </c>
      <c r="F84" s="1" t="s">
        <v>174</v>
      </c>
      <c r="G84">
        <v>2</v>
      </c>
      <c r="H84" t="s">
        <v>1563</v>
      </c>
      <c r="I84" t="s">
        <v>1609</v>
      </c>
      <c r="J84">
        <f t="shared" si="2"/>
        <v>23.76</v>
      </c>
      <c r="K84" t="b">
        <f t="shared" si="3"/>
        <v>1</v>
      </c>
    </row>
    <row r="85" spans="2:11">
      <c r="B85">
        <v>81</v>
      </c>
      <c r="C85" t="s">
        <v>39</v>
      </c>
      <c r="D85">
        <v>227</v>
      </c>
      <c r="E85" t="str">
        <f>IF(VLOOKUP(D85,Couleurs!A:B,2) = 0, "[" &amp; D85 &amp; "]",VLOOKUP(D85,Couleurs!A:B,2))</f>
        <v>[227]</v>
      </c>
      <c r="F85" s="1" t="s">
        <v>175</v>
      </c>
      <c r="G85">
        <v>2</v>
      </c>
      <c r="H85" t="s">
        <v>1596</v>
      </c>
      <c r="I85" t="s">
        <v>1597</v>
      </c>
      <c r="J85">
        <f t="shared" si="2"/>
        <v>21.6</v>
      </c>
      <c r="K85" t="b">
        <f t="shared" si="3"/>
        <v>1</v>
      </c>
    </row>
    <row r="86" spans="2:11">
      <c r="B86">
        <v>82</v>
      </c>
      <c r="C86" t="s">
        <v>40</v>
      </c>
      <c r="D86">
        <v>8</v>
      </c>
      <c r="E86" t="str">
        <f>IF(VLOOKUP(D86,Couleurs!A:B,2) = 0, "[" &amp; D86 &amp; "]",VLOOKUP(D86,Couleurs!A:B,2))</f>
        <v>WHITE</v>
      </c>
      <c r="F86" s="1" t="s">
        <v>176</v>
      </c>
      <c r="G86">
        <v>2</v>
      </c>
      <c r="H86" t="s">
        <v>1552</v>
      </c>
      <c r="I86" t="s">
        <v>1562</v>
      </c>
      <c r="J86">
        <f t="shared" si="2"/>
        <v>25.44</v>
      </c>
      <c r="K86" t="b">
        <f t="shared" si="3"/>
        <v>1</v>
      </c>
    </row>
    <row r="87" spans="2:11">
      <c r="B87">
        <v>83</v>
      </c>
      <c r="C87" t="s">
        <v>41</v>
      </c>
      <c r="D87">
        <v>8</v>
      </c>
      <c r="E87" t="str">
        <f>IF(VLOOKUP(D87,Couleurs!A:B,2) = 0, "[" &amp; D87 &amp; "]",VLOOKUP(D87,Couleurs!A:B,2))</f>
        <v>WHITE</v>
      </c>
      <c r="F87" s="1" t="s">
        <v>177</v>
      </c>
      <c r="G87">
        <v>2</v>
      </c>
      <c r="H87" t="s">
        <v>1591</v>
      </c>
      <c r="I87" t="s">
        <v>1592</v>
      </c>
      <c r="J87">
        <f t="shared" si="2"/>
        <v>19.440000000000001</v>
      </c>
      <c r="K87" t="b">
        <f t="shared" si="3"/>
        <v>1</v>
      </c>
    </row>
    <row r="88" spans="2:11">
      <c r="B88">
        <v>84</v>
      </c>
      <c r="C88" t="s">
        <v>42</v>
      </c>
      <c r="D88">
        <v>476</v>
      </c>
      <c r="E88" t="str">
        <f>IF(VLOOKUP(D88,Couleurs!A:B,2) = 0, "[" &amp; D88 &amp; "]",VLOOKUP(D88,Couleurs!A:B,2))</f>
        <v>[476]</v>
      </c>
      <c r="F88" s="1" t="s">
        <v>178</v>
      </c>
      <c r="G88">
        <v>2</v>
      </c>
      <c r="H88" t="s">
        <v>1576</v>
      </c>
      <c r="I88" t="s">
        <v>1571</v>
      </c>
      <c r="J88">
        <f t="shared" si="2"/>
        <v>25.2</v>
      </c>
      <c r="K88" t="b">
        <f t="shared" si="3"/>
        <v>1</v>
      </c>
    </row>
    <row r="89" spans="2:11">
      <c r="B89">
        <v>85</v>
      </c>
      <c r="C89" t="s">
        <v>1617</v>
      </c>
      <c r="D89">
        <v>254</v>
      </c>
      <c r="E89" t="str">
        <f>IF(VLOOKUP(D89,Couleurs!A:B,2) = 0, "[" &amp; D89 &amp; "]",VLOOKUP(D89,Couleurs!A:B,2))</f>
        <v>[254]</v>
      </c>
      <c r="F89" s="1" t="s">
        <v>2185</v>
      </c>
      <c r="G89">
        <v>2</v>
      </c>
      <c r="H89" t="s">
        <v>1556</v>
      </c>
      <c r="I89" t="s">
        <v>1557</v>
      </c>
      <c r="J89">
        <f t="shared" si="2"/>
        <v>26.88</v>
      </c>
      <c r="K89" t="b">
        <f t="shared" si="3"/>
        <v>1</v>
      </c>
    </row>
    <row r="90" spans="2:11">
      <c r="B90">
        <v>86</v>
      </c>
      <c r="C90" t="s">
        <v>1618</v>
      </c>
      <c r="D90">
        <v>254</v>
      </c>
      <c r="E90" t="str">
        <f>IF(VLOOKUP(D90,Couleurs!A:B,2) = 0, "[" &amp; D90 &amp; "]",VLOOKUP(D90,Couleurs!A:B,2))</f>
        <v>[254]</v>
      </c>
      <c r="F90" s="1" t="s">
        <v>2186</v>
      </c>
      <c r="G90">
        <v>4</v>
      </c>
      <c r="H90" t="s">
        <v>1596</v>
      </c>
      <c r="I90" t="s">
        <v>1565</v>
      </c>
      <c r="J90">
        <f t="shared" si="2"/>
        <v>43.2</v>
      </c>
      <c r="K90" t="b">
        <f t="shared" si="3"/>
        <v>1</v>
      </c>
    </row>
    <row r="91" spans="2:11">
      <c r="B91">
        <v>87</v>
      </c>
      <c r="C91" t="s">
        <v>10</v>
      </c>
      <c r="D91">
        <v>75</v>
      </c>
      <c r="E91" t="str">
        <f>IF(VLOOKUP(D91,Couleurs!A:B,2) = 0, "[" &amp; D91 &amp; "]",VLOOKUP(D91,Couleurs!A:B,2))</f>
        <v>[75]</v>
      </c>
      <c r="F91" s="1" t="s">
        <v>146</v>
      </c>
      <c r="G91">
        <v>2</v>
      </c>
      <c r="H91" t="s">
        <v>1566</v>
      </c>
      <c r="I91" t="s">
        <v>1555</v>
      </c>
      <c r="J91">
        <f t="shared" si="2"/>
        <v>14.4</v>
      </c>
      <c r="K91" t="b">
        <f t="shared" si="3"/>
        <v>1</v>
      </c>
    </row>
    <row r="92" spans="2:11">
      <c r="B92">
        <v>88</v>
      </c>
      <c r="C92" t="s">
        <v>43</v>
      </c>
      <c r="D92">
        <v>408</v>
      </c>
      <c r="E92" t="str">
        <f>IF(VLOOKUP(D92,Couleurs!A:B,2) = 0, "[" &amp; D92 &amp; "]",VLOOKUP(D92,Couleurs!A:B,2))</f>
        <v>[408]</v>
      </c>
      <c r="F92" s="1" t="s">
        <v>179</v>
      </c>
      <c r="G92">
        <v>2</v>
      </c>
      <c r="H92" t="s">
        <v>1619</v>
      </c>
      <c r="I92" t="s">
        <v>1620</v>
      </c>
      <c r="J92">
        <f t="shared" si="2"/>
        <v>59.76</v>
      </c>
      <c r="K92" t="b">
        <f t="shared" si="3"/>
        <v>1</v>
      </c>
    </row>
    <row r="93" spans="2:11">
      <c r="B93">
        <v>89</v>
      </c>
      <c r="C93" t="s">
        <v>1621</v>
      </c>
      <c r="D93">
        <v>76</v>
      </c>
      <c r="E93" t="str">
        <f>IF(VLOOKUP(D93,Couleurs!A:B,2) = 0, "[" &amp; D93 &amp; "]",VLOOKUP(D93,Couleurs!A:B,2))</f>
        <v>[76]</v>
      </c>
      <c r="F93" s="1" t="s">
        <v>2187</v>
      </c>
      <c r="G93">
        <v>2</v>
      </c>
      <c r="H93" t="s">
        <v>1556</v>
      </c>
      <c r="I93" t="s">
        <v>1557</v>
      </c>
      <c r="J93">
        <f t="shared" si="2"/>
        <v>26.88</v>
      </c>
      <c r="K93" t="b">
        <f t="shared" si="3"/>
        <v>1</v>
      </c>
    </row>
    <row r="94" spans="2:11">
      <c r="B94">
        <v>90</v>
      </c>
      <c r="C94" t="s">
        <v>44</v>
      </c>
      <c r="D94">
        <v>227</v>
      </c>
      <c r="E94" t="str">
        <f>IF(VLOOKUP(D94,Couleurs!A:B,2) = 0, "[" &amp; D94 &amp; "]",VLOOKUP(D94,Couleurs!A:B,2))</f>
        <v>[227]</v>
      </c>
      <c r="F94" s="1" t="s">
        <v>180</v>
      </c>
      <c r="G94">
        <v>2</v>
      </c>
      <c r="H94" t="s">
        <v>1596</v>
      </c>
      <c r="I94" t="s">
        <v>1597</v>
      </c>
      <c r="J94">
        <f t="shared" si="2"/>
        <v>21.6</v>
      </c>
      <c r="K94" t="b">
        <f t="shared" si="3"/>
        <v>1</v>
      </c>
    </row>
    <row r="95" spans="2:11">
      <c r="B95">
        <v>91</v>
      </c>
      <c r="C95" t="s">
        <v>45</v>
      </c>
      <c r="D95">
        <v>9</v>
      </c>
      <c r="E95" t="str">
        <f>IF(VLOOKUP(D95,Couleurs!A:B,2) = 0, "[" &amp; D95 &amp; "]",VLOOKUP(D95,Couleurs!A:B,2))</f>
        <v>[9]</v>
      </c>
      <c r="F95" s="1" t="s">
        <v>181</v>
      </c>
      <c r="G95">
        <v>3</v>
      </c>
      <c r="H95" t="s">
        <v>1550</v>
      </c>
      <c r="I95" t="s">
        <v>1551</v>
      </c>
      <c r="J95">
        <f t="shared" si="2"/>
        <v>23.4</v>
      </c>
      <c r="K95" t="b">
        <f t="shared" si="3"/>
        <v>1</v>
      </c>
    </row>
    <row r="96" spans="2:11">
      <c r="B96">
        <v>92</v>
      </c>
      <c r="C96" t="s">
        <v>46</v>
      </c>
      <c r="D96">
        <v>489</v>
      </c>
      <c r="E96" t="str">
        <f>IF(VLOOKUP(D96,Couleurs!A:B,2) = 0, "[" &amp; D96 &amp; "]",VLOOKUP(D96,Couleurs!A:B,2))</f>
        <v>[489]</v>
      </c>
      <c r="F96" s="1" t="s">
        <v>182</v>
      </c>
      <c r="G96">
        <v>3</v>
      </c>
      <c r="H96" t="s">
        <v>1556</v>
      </c>
      <c r="I96" t="s">
        <v>1622</v>
      </c>
      <c r="J96">
        <f t="shared" si="2"/>
        <v>40.32</v>
      </c>
      <c r="K96" t="b">
        <f t="shared" si="3"/>
        <v>1</v>
      </c>
    </row>
    <row r="97" spans="2:11">
      <c r="B97">
        <v>93</v>
      </c>
      <c r="C97" t="s">
        <v>31</v>
      </c>
      <c r="D97">
        <v>76</v>
      </c>
      <c r="E97" t="str">
        <f>IF(VLOOKUP(D97,Couleurs!A:B,2) = 0, "[" &amp; D97 &amp; "]",VLOOKUP(D97,Couleurs!A:B,2))</f>
        <v>[76]</v>
      </c>
      <c r="F97" s="1" t="s">
        <v>167</v>
      </c>
      <c r="G97">
        <v>2</v>
      </c>
      <c r="H97" t="s">
        <v>1596</v>
      </c>
      <c r="I97" t="s">
        <v>1597</v>
      </c>
      <c r="J97">
        <f t="shared" si="2"/>
        <v>21.6</v>
      </c>
      <c r="K97" t="b">
        <f t="shared" si="3"/>
        <v>1</v>
      </c>
    </row>
    <row r="98" spans="2:11">
      <c r="B98">
        <v>94</v>
      </c>
      <c r="C98" t="s">
        <v>47</v>
      </c>
      <c r="D98">
        <v>482</v>
      </c>
      <c r="E98" t="str">
        <f>IF(VLOOKUP(D98,Couleurs!A:B,2) = 0, "[" &amp; D98 &amp; "]",VLOOKUP(D98,Couleurs!A:B,2))</f>
        <v>[482]</v>
      </c>
      <c r="F98" s="1" t="s">
        <v>183</v>
      </c>
      <c r="G98">
        <v>4</v>
      </c>
      <c r="H98" t="s">
        <v>1556</v>
      </c>
      <c r="I98" t="s">
        <v>2188</v>
      </c>
      <c r="J98">
        <f t="shared" si="2"/>
        <v>53.76</v>
      </c>
      <c r="K98" t="b">
        <f t="shared" si="3"/>
        <v>1</v>
      </c>
    </row>
    <row r="99" spans="2:11">
      <c r="B99">
        <v>95</v>
      </c>
      <c r="C99" t="s">
        <v>48</v>
      </c>
      <c r="D99">
        <v>75</v>
      </c>
      <c r="E99" t="str">
        <f>IF(VLOOKUP(D99,Couleurs!A:B,2) = 0, "[" &amp; D99 &amp; "]",VLOOKUP(D99,Couleurs!A:B,2))</f>
        <v>[75]</v>
      </c>
      <c r="F99" s="1" t="s">
        <v>184</v>
      </c>
      <c r="G99">
        <v>3</v>
      </c>
      <c r="H99" t="s">
        <v>1623</v>
      </c>
      <c r="I99" t="s">
        <v>1624</v>
      </c>
      <c r="J99">
        <f t="shared" si="2"/>
        <v>60.12</v>
      </c>
      <c r="K99" t="b">
        <f t="shared" si="3"/>
        <v>1</v>
      </c>
    </row>
    <row r="100" spans="2:11">
      <c r="B100">
        <v>96</v>
      </c>
      <c r="C100" t="s">
        <v>1625</v>
      </c>
      <c r="D100">
        <v>475</v>
      </c>
      <c r="E100" t="str">
        <f>IF(VLOOKUP(D100,Couleurs!A:B,2) = 0, "[" &amp; D100 &amp; "]",VLOOKUP(D100,Couleurs!A:B,2))</f>
        <v>[475]</v>
      </c>
      <c r="F100" s="1" t="s">
        <v>2189</v>
      </c>
      <c r="G100">
        <v>2</v>
      </c>
      <c r="H100" t="s">
        <v>1552</v>
      </c>
      <c r="I100" t="s">
        <v>1562</v>
      </c>
      <c r="J100">
        <f t="shared" si="2"/>
        <v>25.44</v>
      </c>
      <c r="K100" t="b">
        <f t="shared" si="3"/>
        <v>1</v>
      </c>
    </row>
    <row r="101" spans="2:11">
      <c r="B101">
        <v>97</v>
      </c>
      <c r="C101" t="s">
        <v>21</v>
      </c>
      <c r="D101">
        <v>483</v>
      </c>
      <c r="E101" t="str">
        <f>IF(VLOOKUP(D101,Couleurs!A:B,2) = 0, "[" &amp; D101 &amp; "]",VLOOKUP(D101,Couleurs!A:B,2))</f>
        <v>[483]</v>
      </c>
      <c r="F101" s="1" t="s">
        <v>154</v>
      </c>
      <c r="G101">
        <v>3</v>
      </c>
      <c r="H101" t="s">
        <v>1555</v>
      </c>
      <c r="I101" t="s">
        <v>1565</v>
      </c>
      <c r="J101">
        <f t="shared" si="2"/>
        <v>43.2</v>
      </c>
      <c r="K101" t="b">
        <f t="shared" si="3"/>
        <v>1</v>
      </c>
    </row>
    <row r="102" spans="2:11">
      <c r="B102">
        <v>98</v>
      </c>
      <c r="C102" t="s">
        <v>37</v>
      </c>
      <c r="D102">
        <v>481</v>
      </c>
      <c r="E102" t="str">
        <f>IF(VLOOKUP(D102,Couleurs!A:B,2) = 0, "[" &amp; D102 &amp; "]",VLOOKUP(D102,Couleurs!A:B,2))</f>
        <v>[481]</v>
      </c>
      <c r="F102" s="1" t="s">
        <v>173</v>
      </c>
      <c r="G102">
        <v>2</v>
      </c>
      <c r="H102" t="s">
        <v>1596</v>
      </c>
      <c r="I102" t="s">
        <v>1597</v>
      </c>
      <c r="J102">
        <f t="shared" si="2"/>
        <v>21.6</v>
      </c>
      <c r="K102" t="b">
        <f t="shared" si="3"/>
        <v>1</v>
      </c>
    </row>
    <row r="103" spans="2:11">
      <c r="B103">
        <v>99</v>
      </c>
      <c r="C103" t="s">
        <v>0</v>
      </c>
      <c r="D103">
        <v>422</v>
      </c>
      <c r="E103" t="str">
        <f>IF(VLOOKUP(D103,Couleurs!A:B,2) = 0, "[" &amp; D103 &amp; "]",VLOOKUP(D103,Couleurs!A:B,2))</f>
        <v>SANGRIA</v>
      </c>
      <c r="F103" s="1" t="s">
        <v>136</v>
      </c>
      <c r="G103">
        <v>2</v>
      </c>
      <c r="H103" t="s">
        <v>1550</v>
      </c>
      <c r="I103" t="s">
        <v>1564</v>
      </c>
      <c r="J103">
        <f t="shared" si="2"/>
        <v>15.6</v>
      </c>
      <c r="K103" t="b">
        <f t="shared" si="3"/>
        <v>1</v>
      </c>
    </row>
    <row r="104" spans="2:11">
      <c r="B104">
        <v>100</v>
      </c>
      <c r="C104" t="s">
        <v>49</v>
      </c>
      <c r="D104">
        <v>347</v>
      </c>
      <c r="E104" t="str">
        <f>IF(VLOOKUP(D104,Couleurs!A:B,2) = 0, "[" &amp; D104 &amp; "]",VLOOKUP(D104,Couleurs!A:B,2))</f>
        <v>[347]</v>
      </c>
      <c r="F104" s="1" t="s">
        <v>185</v>
      </c>
      <c r="G104">
        <v>3</v>
      </c>
      <c r="H104" t="s">
        <v>1584</v>
      </c>
      <c r="I104" t="s">
        <v>1585</v>
      </c>
      <c r="J104">
        <f t="shared" si="2"/>
        <v>21.240000000000002</v>
      </c>
      <c r="K104" t="b">
        <f t="shared" si="3"/>
        <v>1</v>
      </c>
    </row>
    <row r="105" spans="2:11">
      <c r="B105">
        <v>101</v>
      </c>
      <c r="C105" t="s">
        <v>1626</v>
      </c>
      <c r="D105">
        <v>36</v>
      </c>
      <c r="E105" t="str">
        <f>IF(VLOOKUP(D105,Couleurs!A:B,2) = 0, "[" &amp; D105 &amp; "]",VLOOKUP(D105,Couleurs!A:B,2))</f>
        <v>[36]</v>
      </c>
      <c r="F105" s="1" t="s">
        <v>1627</v>
      </c>
      <c r="G105">
        <v>2</v>
      </c>
      <c r="H105" t="s">
        <v>1596</v>
      </c>
      <c r="I105" t="s">
        <v>1597</v>
      </c>
      <c r="J105">
        <f t="shared" si="2"/>
        <v>21.6</v>
      </c>
      <c r="K105" t="b">
        <f t="shared" si="3"/>
        <v>1</v>
      </c>
    </row>
    <row r="106" spans="2:11">
      <c r="B106">
        <v>102</v>
      </c>
      <c r="C106" t="s">
        <v>1626</v>
      </c>
      <c r="D106">
        <v>55</v>
      </c>
      <c r="E106" t="str">
        <f>IF(VLOOKUP(D106,Couleurs!A:B,2) = 0, "[" &amp; D106 &amp; "]",VLOOKUP(D106,Couleurs!A:B,2))</f>
        <v>BLACK</v>
      </c>
      <c r="F106" s="1" t="s">
        <v>1627</v>
      </c>
      <c r="G106">
        <v>2</v>
      </c>
      <c r="H106" t="s">
        <v>1596</v>
      </c>
      <c r="I106" t="s">
        <v>1597</v>
      </c>
      <c r="J106">
        <f t="shared" si="2"/>
        <v>21.6</v>
      </c>
      <c r="K106" t="b">
        <f t="shared" si="3"/>
        <v>1</v>
      </c>
    </row>
    <row r="107" spans="2:11">
      <c r="B107">
        <v>103</v>
      </c>
      <c r="C107" t="s">
        <v>46</v>
      </c>
      <c r="D107">
        <v>8</v>
      </c>
      <c r="E107" t="str">
        <f>IF(VLOOKUP(D107,Couleurs!A:B,2) = 0, "[" &amp; D107 &amp; "]",VLOOKUP(D107,Couleurs!A:B,2))</f>
        <v>WHITE</v>
      </c>
      <c r="F107" s="1" t="s">
        <v>182</v>
      </c>
      <c r="G107">
        <v>6</v>
      </c>
      <c r="H107" t="s">
        <v>1556</v>
      </c>
      <c r="I107" t="s">
        <v>1628</v>
      </c>
      <c r="J107">
        <f t="shared" si="2"/>
        <v>80.64</v>
      </c>
      <c r="K107" t="b">
        <f t="shared" si="3"/>
        <v>1</v>
      </c>
    </row>
    <row r="108" spans="2:11">
      <c r="B108">
        <v>104</v>
      </c>
      <c r="C108" t="s">
        <v>46</v>
      </c>
      <c r="D108">
        <v>8</v>
      </c>
      <c r="E108" t="str">
        <f>IF(VLOOKUP(D108,Couleurs!A:B,2) = 0, "[" &amp; D108 &amp; "]",VLOOKUP(D108,Couleurs!A:B,2))</f>
        <v>WHITE</v>
      </c>
      <c r="F108" s="1" t="s">
        <v>182</v>
      </c>
      <c r="G108">
        <v>3</v>
      </c>
      <c r="H108" t="s">
        <v>1556</v>
      </c>
      <c r="I108" t="s">
        <v>1622</v>
      </c>
      <c r="J108">
        <f t="shared" si="2"/>
        <v>40.32</v>
      </c>
      <c r="K108" t="b">
        <f t="shared" si="3"/>
        <v>1</v>
      </c>
    </row>
    <row r="109" spans="2:11">
      <c r="B109">
        <v>105</v>
      </c>
      <c r="C109" t="s">
        <v>46</v>
      </c>
      <c r="D109">
        <v>17</v>
      </c>
      <c r="E109" t="str">
        <f>IF(VLOOKUP(D109,Couleurs!A:B,2) = 0, "[" &amp; D109 &amp; "]",VLOOKUP(D109,Couleurs!A:B,2))</f>
        <v>NAVY BLUE</v>
      </c>
      <c r="F109" s="1" t="s">
        <v>182</v>
      </c>
      <c r="G109">
        <v>3</v>
      </c>
      <c r="H109" t="s">
        <v>1556</v>
      </c>
      <c r="I109" t="s">
        <v>1622</v>
      </c>
      <c r="J109">
        <f t="shared" si="2"/>
        <v>40.32</v>
      </c>
      <c r="K109" t="b">
        <f t="shared" si="3"/>
        <v>1</v>
      </c>
    </row>
    <row r="110" spans="2:11">
      <c r="B110">
        <v>106</v>
      </c>
      <c r="C110" t="s">
        <v>49</v>
      </c>
      <c r="D110">
        <v>130</v>
      </c>
      <c r="E110" t="str">
        <f>IF(VLOOKUP(D110,Couleurs!A:B,2) = 0, "[" &amp; D110 &amp; "]",VLOOKUP(D110,Couleurs!A:B,2))</f>
        <v>[130]</v>
      </c>
      <c r="F110" s="1" t="s">
        <v>185</v>
      </c>
      <c r="G110">
        <v>3</v>
      </c>
      <c r="H110" t="s">
        <v>1584</v>
      </c>
      <c r="I110" t="s">
        <v>1585</v>
      </c>
      <c r="J110">
        <f t="shared" si="2"/>
        <v>21.240000000000002</v>
      </c>
      <c r="K110" t="b">
        <f t="shared" si="3"/>
        <v>1</v>
      </c>
    </row>
    <row r="111" spans="2:11">
      <c r="B111">
        <v>107</v>
      </c>
      <c r="C111" t="s">
        <v>26</v>
      </c>
      <c r="D111">
        <v>486</v>
      </c>
      <c r="E111" t="str">
        <f>IF(VLOOKUP(D111,Couleurs!A:B,2) = 0, "[" &amp; D111 &amp; "]",VLOOKUP(D111,Couleurs!A:B,2))</f>
        <v>[486]</v>
      </c>
      <c r="F111" s="1" t="s">
        <v>159</v>
      </c>
      <c r="G111">
        <v>3</v>
      </c>
      <c r="H111" t="s">
        <v>1555</v>
      </c>
      <c r="I111" t="s">
        <v>1565</v>
      </c>
      <c r="J111">
        <f t="shared" si="2"/>
        <v>43.2</v>
      </c>
      <c r="K111" t="b">
        <f t="shared" si="3"/>
        <v>1</v>
      </c>
    </row>
    <row r="112" spans="2:11">
      <c r="B112">
        <v>108</v>
      </c>
      <c r="C112" t="s">
        <v>2</v>
      </c>
      <c r="D112">
        <v>371</v>
      </c>
      <c r="E112" t="str">
        <f>IF(VLOOKUP(D112,Couleurs!A:B,2) = 0, "[" &amp; D112 &amp; "]",VLOOKUP(D112,Couleurs!A:B,2))</f>
        <v>MILK</v>
      </c>
      <c r="F112" s="1" t="s">
        <v>138</v>
      </c>
      <c r="G112">
        <v>3</v>
      </c>
      <c r="H112" t="s">
        <v>1554</v>
      </c>
      <c r="I112" t="s">
        <v>1555</v>
      </c>
      <c r="J112">
        <f t="shared" si="2"/>
        <v>14.399999999999999</v>
      </c>
      <c r="K112" t="b">
        <f t="shared" si="3"/>
        <v>1</v>
      </c>
    </row>
    <row r="113" spans="2:11">
      <c r="B113">
        <v>109</v>
      </c>
      <c r="C113" t="s">
        <v>50</v>
      </c>
      <c r="D113">
        <v>347</v>
      </c>
      <c r="E113" t="str">
        <f>IF(VLOOKUP(D113,Couleurs!A:B,2) = 0, "[" &amp; D113 &amp; "]",VLOOKUP(D113,Couleurs!A:B,2))</f>
        <v>[347]</v>
      </c>
      <c r="F113" s="1" t="s">
        <v>186</v>
      </c>
      <c r="G113">
        <v>3</v>
      </c>
      <c r="H113" t="s">
        <v>1564</v>
      </c>
      <c r="I113" t="s">
        <v>1629</v>
      </c>
      <c r="J113">
        <f t="shared" si="2"/>
        <v>46.8</v>
      </c>
      <c r="K113" t="b">
        <f t="shared" si="3"/>
        <v>1</v>
      </c>
    </row>
    <row r="114" spans="2:11">
      <c r="B114">
        <v>110</v>
      </c>
      <c r="C114" t="s">
        <v>2</v>
      </c>
      <c r="D114">
        <v>422</v>
      </c>
      <c r="E114" t="str">
        <f>IF(VLOOKUP(D114,Couleurs!A:B,2) = 0, "[" &amp; D114 &amp; "]",VLOOKUP(D114,Couleurs!A:B,2))</f>
        <v>SANGRIA</v>
      </c>
      <c r="F114" s="1" t="s">
        <v>138</v>
      </c>
      <c r="G114">
        <v>3</v>
      </c>
      <c r="H114" t="s">
        <v>1554</v>
      </c>
      <c r="I114" t="s">
        <v>1555</v>
      </c>
      <c r="J114">
        <f t="shared" si="2"/>
        <v>14.399999999999999</v>
      </c>
      <c r="K114" t="b">
        <f t="shared" si="3"/>
        <v>1</v>
      </c>
    </row>
    <row r="115" spans="2:11">
      <c r="B115">
        <v>111</v>
      </c>
      <c r="C115" t="s">
        <v>51</v>
      </c>
      <c r="D115">
        <v>36</v>
      </c>
      <c r="E115" t="str">
        <f>IF(VLOOKUP(D115,Couleurs!A:B,2) = 0, "[" &amp; D115 &amp; "]",VLOOKUP(D115,Couleurs!A:B,2))</f>
        <v>[36]</v>
      </c>
      <c r="F115" s="1" t="s">
        <v>187</v>
      </c>
      <c r="G115">
        <v>8</v>
      </c>
      <c r="H115" t="s">
        <v>1598</v>
      </c>
      <c r="I115" t="s">
        <v>1630</v>
      </c>
      <c r="J115">
        <f t="shared" si="2"/>
        <v>36.479999999999997</v>
      </c>
      <c r="K115" t="b">
        <f t="shared" si="3"/>
        <v>1</v>
      </c>
    </row>
    <row r="116" spans="2:11">
      <c r="B116">
        <v>112</v>
      </c>
      <c r="C116" t="s">
        <v>52</v>
      </c>
      <c r="D116">
        <v>8</v>
      </c>
      <c r="E116" t="str">
        <f>IF(VLOOKUP(D116,Couleurs!A:B,2) = 0, "[" &amp; D116 &amp; "]",VLOOKUP(D116,Couleurs!A:B,2))</f>
        <v>WHITE</v>
      </c>
      <c r="F116" s="1" t="s">
        <v>188</v>
      </c>
      <c r="G116">
        <v>2</v>
      </c>
      <c r="H116" t="s">
        <v>1631</v>
      </c>
      <c r="I116" t="s">
        <v>1632</v>
      </c>
      <c r="J116">
        <f t="shared" si="2"/>
        <v>22.8</v>
      </c>
      <c r="K116" t="b">
        <f t="shared" si="3"/>
        <v>1</v>
      </c>
    </row>
    <row r="117" spans="2:11">
      <c r="B117">
        <v>113</v>
      </c>
      <c r="C117" t="s">
        <v>6</v>
      </c>
      <c r="D117">
        <v>55</v>
      </c>
      <c r="E117" t="str">
        <f>IF(VLOOKUP(D117,Couleurs!A:B,2) = 0, "[" &amp; D117 &amp; "]",VLOOKUP(D117,Couleurs!A:B,2))</f>
        <v>BLACK</v>
      </c>
      <c r="F117" s="1" t="s">
        <v>142</v>
      </c>
      <c r="G117">
        <v>2</v>
      </c>
      <c r="H117" t="s">
        <v>1552</v>
      </c>
      <c r="I117" t="s">
        <v>1562</v>
      </c>
      <c r="J117">
        <f t="shared" si="2"/>
        <v>25.44</v>
      </c>
      <c r="K117" t="b">
        <f t="shared" si="3"/>
        <v>1</v>
      </c>
    </row>
    <row r="118" spans="2:11">
      <c r="B118">
        <v>114</v>
      </c>
      <c r="C118" t="s">
        <v>53</v>
      </c>
      <c r="D118">
        <v>227</v>
      </c>
      <c r="E118" t="str">
        <f>IF(VLOOKUP(D118,Couleurs!A:B,2) = 0, "[" &amp; D118 &amp; "]",VLOOKUP(D118,Couleurs!A:B,2))</f>
        <v>[227]</v>
      </c>
      <c r="F118" s="1" t="s">
        <v>189</v>
      </c>
      <c r="G118">
        <v>2</v>
      </c>
      <c r="H118" t="s">
        <v>1576</v>
      </c>
      <c r="I118" t="s">
        <v>1571</v>
      </c>
      <c r="J118">
        <f t="shared" si="2"/>
        <v>25.2</v>
      </c>
      <c r="K118" t="b">
        <f t="shared" si="3"/>
        <v>1</v>
      </c>
    </row>
    <row r="119" spans="2:11">
      <c r="B119">
        <v>115</v>
      </c>
      <c r="C119" t="s">
        <v>54</v>
      </c>
      <c r="D119">
        <v>36</v>
      </c>
      <c r="E119" t="str">
        <f>IF(VLOOKUP(D119,Couleurs!A:B,2) = 0, "[" &amp; D119 &amp; "]",VLOOKUP(D119,Couleurs!A:B,2))</f>
        <v>[36]</v>
      </c>
      <c r="F119" s="1" t="s">
        <v>190</v>
      </c>
      <c r="G119">
        <v>6</v>
      </c>
      <c r="H119" t="s">
        <v>1633</v>
      </c>
      <c r="I119" t="s">
        <v>1597</v>
      </c>
      <c r="J119">
        <f t="shared" si="2"/>
        <v>21.6</v>
      </c>
      <c r="K119" t="b">
        <f t="shared" si="3"/>
        <v>1</v>
      </c>
    </row>
    <row r="120" spans="2:11">
      <c r="B120">
        <v>116</v>
      </c>
      <c r="C120" t="s">
        <v>54</v>
      </c>
      <c r="D120">
        <v>422</v>
      </c>
      <c r="E120" t="str">
        <f>IF(VLOOKUP(D120,Couleurs!A:B,2) = 0, "[" &amp; D120 &amp; "]",VLOOKUP(D120,Couleurs!A:B,2))</f>
        <v>SANGRIA</v>
      </c>
      <c r="F120" s="1" t="s">
        <v>190</v>
      </c>
      <c r="G120">
        <v>6</v>
      </c>
      <c r="H120" t="s">
        <v>1633</v>
      </c>
      <c r="I120" t="s">
        <v>1597</v>
      </c>
      <c r="J120">
        <f t="shared" si="2"/>
        <v>21.6</v>
      </c>
      <c r="K120" t="b">
        <f t="shared" si="3"/>
        <v>1</v>
      </c>
    </row>
    <row r="121" spans="2:11">
      <c r="B121">
        <v>117</v>
      </c>
      <c r="C121" t="s">
        <v>55</v>
      </c>
      <c r="D121">
        <v>55</v>
      </c>
      <c r="E121" t="str">
        <f>IF(VLOOKUP(D121,Couleurs!A:B,2) = 0, "[" &amp; D121 &amp; "]",VLOOKUP(D121,Couleurs!A:B,2))</f>
        <v>BLACK</v>
      </c>
      <c r="F121" s="1" t="s">
        <v>191</v>
      </c>
      <c r="G121">
        <v>3</v>
      </c>
      <c r="H121" t="s">
        <v>1570</v>
      </c>
      <c r="I121" t="s">
        <v>1571</v>
      </c>
      <c r="J121">
        <f t="shared" si="2"/>
        <v>25.200000000000003</v>
      </c>
      <c r="K121" t="b">
        <f t="shared" si="3"/>
        <v>1</v>
      </c>
    </row>
    <row r="122" spans="2:11">
      <c r="B122">
        <v>118</v>
      </c>
      <c r="C122" t="s">
        <v>56</v>
      </c>
      <c r="D122">
        <v>8</v>
      </c>
      <c r="E122" t="str">
        <f>IF(VLOOKUP(D122,Couleurs!A:B,2) = 0, "[" &amp; D122 &amp; "]",VLOOKUP(D122,Couleurs!A:B,2))</f>
        <v>WHITE</v>
      </c>
      <c r="F122" s="1" t="s">
        <v>192</v>
      </c>
      <c r="G122">
        <v>3</v>
      </c>
      <c r="H122" t="s">
        <v>1634</v>
      </c>
      <c r="I122" t="s">
        <v>1635</v>
      </c>
      <c r="J122">
        <f t="shared" si="2"/>
        <v>25.56</v>
      </c>
      <c r="K122" t="b">
        <f t="shared" si="3"/>
        <v>1</v>
      </c>
    </row>
    <row r="123" spans="2:11">
      <c r="B123">
        <v>119</v>
      </c>
      <c r="C123" t="s">
        <v>57</v>
      </c>
      <c r="D123">
        <v>497</v>
      </c>
      <c r="E123" t="str">
        <f>IF(VLOOKUP(D123,Couleurs!A:B,2) = 0, "[" &amp; D123 &amp; "]",VLOOKUP(D123,Couleurs!A:B,2))</f>
        <v>[497]</v>
      </c>
      <c r="F123" s="1" t="s">
        <v>193</v>
      </c>
      <c r="G123">
        <v>3</v>
      </c>
      <c r="H123" t="s">
        <v>1636</v>
      </c>
      <c r="I123" t="s">
        <v>1637</v>
      </c>
      <c r="J123">
        <f t="shared" si="2"/>
        <v>56.88</v>
      </c>
      <c r="K123" t="b">
        <f t="shared" si="3"/>
        <v>1</v>
      </c>
    </row>
    <row r="124" spans="2:11">
      <c r="B124">
        <v>120</v>
      </c>
      <c r="C124" t="s">
        <v>58</v>
      </c>
      <c r="D124">
        <v>76</v>
      </c>
      <c r="E124" t="str">
        <f>IF(VLOOKUP(D124,Couleurs!A:B,2) = 0, "[" &amp; D124 &amp; "]",VLOOKUP(D124,Couleurs!A:B,2))</f>
        <v>[76]</v>
      </c>
      <c r="F124" s="1" t="s">
        <v>194</v>
      </c>
      <c r="G124">
        <v>2</v>
      </c>
      <c r="H124" t="s">
        <v>1596</v>
      </c>
      <c r="I124" t="s">
        <v>1597</v>
      </c>
      <c r="J124">
        <f t="shared" si="2"/>
        <v>21.6</v>
      </c>
      <c r="K124" t="b">
        <f t="shared" si="3"/>
        <v>1</v>
      </c>
    </row>
    <row r="125" spans="2:11">
      <c r="B125">
        <v>121</v>
      </c>
      <c r="C125" t="s">
        <v>15</v>
      </c>
      <c r="D125">
        <v>26</v>
      </c>
      <c r="E125" t="str">
        <f>IF(VLOOKUP(D125,Couleurs!A:B,2) = 0, "[" &amp; D125 &amp; "]",VLOOKUP(D125,Couleurs!A:B,2))</f>
        <v>[26]</v>
      </c>
      <c r="F125" s="1" t="s">
        <v>166</v>
      </c>
      <c r="G125">
        <v>2</v>
      </c>
      <c r="H125" t="s">
        <v>1594</v>
      </c>
      <c r="I125" t="s">
        <v>1595</v>
      </c>
      <c r="J125">
        <f t="shared" si="2"/>
        <v>19.559999999999999</v>
      </c>
      <c r="K125" t="b">
        <f t="shared" si="3"/>
        <v>1</v>
      </c>
    </row>
    <row r="126" spans="2:11">
      <c r="B126">
        <v>122</v>
      </c>
      <c r="C126" t="s">
        <v>14</v>
      </c>
      <c r="D126">
        <v>76</v>
      </c>
      <c r="E126" t="str">
        <f>IF(VLOOKUP(D126,Couleurs!A:B,2) = 0, "[" &amp; D126 &amp; "]",VLOOKUP(D126,Couleurs!A:B,2))</f>
        <v>[76]</v>
      </c>
      <c r="F126" s="1" t="s">
        <v>165</v>
      </c>
      <c r="G126">
        <v>2</v>
      </c>
      <c r="H126" t="s">
        <v>1555</v>
      </c>
      <c r="I126" t="s">
        <v>1574</v>
      </c>
      <c r="J126">
        <f t="shared" si="2"/>
        <v>28.8</v>
      </c>
      <c r="K126" t="b">
        <f t="shared" si="3"/>
        <v>1</v>
      </c>
    </row>
    <row r="127" spans="2:11">
      <c r="B127">
        <v>123</v>
      </c>
      <c r="C127" t="s">
        <v>45</v>
      </c>
      <c r="D127">
        <v>76</v>
      </c>
      <c r="E127" t="str">
        <f>IF(VLOOKUP(D127,Couleurs!A:B,2) = 0, "[" &amp; D127 &amp; "]",VLOOKUP(D127,Couleurs!A:B,2))</f>
        <v>[76]</v>
      </c>
      <c r="F127" s="1" t="s">
        <v>181</v>
      </c>
      <c r="G127">
        <v>3</v>
      </c>
      <c r="H127" t="s">
        <v>1550</v>
      </c>
      <c r="I127" t="s">
        <v>1551</v>
      </c>
      <c r="J127">
        <f t="shared" si="2"/>
        <v>23.4</v>
      </c>
      <c r="K127" t="b">
        <f t="shared" si="3"/>
        <v>1</v>
      </c>
    </row>
    <row r="128" spans="2:11">
      <c r="B128">
        <v>124</v>
      </c>
      <c r="C128" t="s">
        <v>12</v>
      </c>
      <c r="D128">
        <v>26</v>
      </c>
      <c r="E128" t="str">
        <f>IF(VLOOKUP(D128,Couleurs!A:B,2) = 0, "[" &amp; D128 &amp; "]",VLOOKUP(D128,Couleurs!A:B,2))</f>
        <v>[26]</v>
      </c>
      <c r="F128" s="1" t="s">
        <v>148</v>
      </c>
      <c r="G128">
        <v>3</v>
      </c>
      <c r="H128">
        <v>9</v>
      </c>
      <c r="I128">
        <v>27</v>
      </c>
      <c r="J128">
        <f t="shared" si="2"/>
        <v>27</v>
      </c>
      <c r="K128" t="b">
        <f t="shared" si="3"/>
        <v>1</v>
      </c>
    </row>
    <row r="129" spans="2:11">
      <c r="B129">
        <v>125</v>
      </c>
      <c r="C129" t="s">
        <v>59</v>
      </c>
      <c r="D129">
        <v>483</v>
      </c>
      <c r="E129" t="str">
        <f>IF(VLOOKUP(D129,Couleurs!A:B,2) = 0, "[" &amp; D129 &amp; "]",VLOOKUP(D129,Couleurs!A:B,2))</f>
        <v>[483]</v>
      </c>
      <c r="F129" s="1" t="s">
        <v>195</v>
      </c>
      <c r="G129">
        <v>2</v>
      </c>
      <c r="H129" t="s">
        <v>1638</v>
      </c>
      <c r="I129" t="s">
        <v>1639</v>
      </c>
      <c r="J129">
        <f t="shared" si="2"/>
        <v>27.6</v>
      </c>
      <c r="K129" t="b">
        <f t="shared" si="3"/>
        <v>1</v>
      </c>
    </row>
    <row r="130" spans="2:11">
      <c r="B130">
        <v>126</v>
      </c>
      <c r="C130" t="s">
        <v>60</v>
      </c>
      <c r="D130">
        <v>215</v>
      </c>
      <c r="E130" t="str">
        <f>IF(VLOOKUP(D130,Couleurs!A:B,2) = 0, "[" &amp; D130 &amp; "]",VLOOKUP(D130,Couleurs!A:B,2))</f>
        <v>VOLCANO</v>
      </c>
      <c r="F130" s="1" t="s">
        <v>196</v>
      </c>
      <c r="G130">
        <v>2</v>
      </c>
      <c r="H130" t="s">
        <v>1558</v>
      </c>
      <c r="I130" t="s">
        <v>1559</v>
      </c>
      <c r="J130">
        <f t="shared" si="2"/>
        <v>36.24</v>
      </c>
      <c r="K130" t="b">
        <f t="shared" si="3"/>
        <v>1</v>
      </c>
    </row>
    <row r="131" spans="2:11">
      <c r="B131">
        <v>127</v>
      </c>
      <c r="C131" t="s">
        <v>61</v>
      </c>
      <c r="D131">
        <v>130</v>
      </c>
      <c r="E131" t="str">
        <f>IF(VLOOKUP(D131,Couleurs!A:B,2) = 0, "[" &amp; D131 &amp; "]",VLOOKUP(D131,Couleurs!A:B,2))</f>
        <v>[130]</v>
      </c>
      <c r="F131" s="1" t="s">
        <v>197</v>
      </c>
      <c r="G131">
        <v>3</v>
      </c>
      <c r="H131">
        <v>9</v>
      </c>
      <c r="I131">
        <v>27</v>
      </c>
      <c r="J131">
        <f t="shared" si="2"/>
        <v>27</v>
      </c>
      <c r="K131" t="b">
        <f t="shared" si="3"/>
        <v>1</v>
      </c>
    </row>
    <row r="132" spans="2:11">
      <c r="B132">
        <v>128</v>
      </c>
      <c r="C132" t="s">
        <v>15</v>
      </c>
      <c r="D132">
        <v>422</v>
      </c>
      <c r="E132" t="str">
        <f>IF(VLOOKUP(D132,Couleurs!A:B,2) = 0, "[" &amp; D132 &amp; "]",VLOOKUP(D132,Couleurs!A:B,2))</f>
        <v>SANGRIA</v>
      </c>
      <c r="F132" s="1" t="s">
        <v>166</v>
      </c>
      <c r="G132">
        <v>2</v>
      </c>
      <c r="H132" t="s">
        <v>1594</v>
      </c>
      <c r="I132" t="s">
        <v>1595</v>
      </c>
      <c r="J132">
        <f t="shared" si="2"/>
        <v>19.559999999999999</v>
      </c>
      <c r="K132" t="b">
        <f t="shared" si="3"/>
        <v>1</v>
      </c>
    </row>
    <row r="133" spans="2:11">
      <c r="B133">
        <v>129</v>
      </c>
      <c r="C133" t="s">
        <v>26</v>
      </c>
      <c r="D133">
        <v>485</v>
      </c>
      <c r="E133" t="str">
        <f>IF(VLOOKUP(D133,Couleurs!A:B,2) = 0, "[" &amp; D133 &amp; "]",VLOOKUP(D133,Couleurs!A:B,2))</f>
        <v>[485]</v>
      </c>
      <c r="F133" s="1" t="s">
        <v>159</v>
      </c>
      <c r="G133">
        <v>3</v>
      </c>
      <c r="H133" t="s">
        <v>1555</v>
      </c>
      <c r="I133" t="s">
        <v>1565</v>
      </c>
      <c r="J133">
        <f t="shared" ref="J133:J196" si="4">G133*H133</f>
        <v>43.2</v>
      </c>
      <c r="K133" t="b">
        <f t="shared" ref="K133:K196" si="5">(0+I133)=J133</f>
        <v>1</v>
      </c>
    </row>
    <row r="134" spans="2:11">
      <c r="B134">
        <v>130</v>
      </c>
      <c r="C134" t="s">
        <v>21</v>
      </c>
      <c r="D134">
        <v>71</v>
      </c>
      <c r="E134" t="str">
        <f>IF(VLOOKUP(D134,Couleurs!A:B,2) = 0, "[" &amp; D134 &amp; "]",VLOOKUP(D134,Couleurs!A:B,2))</f>
        <v>ROCK</v>
      </c>
      <c r="F134" s="1" t="s">
        <v>154</v>
      </c>
      <c r="G134">
        <v>1</v>
      </c>
      <c r="H134" t="s">
        <v>1555</v>
      </c>
      <c r="I134" t="s">
        <v>1555</v>
      </c>
      <c r="J134">
        <f t="shared" si="4"/>
        <v>14.4</v>
      </c>
      <c r="K134" t="b">
        <f t="shared" si="5"/>
        <v>1</v>
      </c>
    </row>
    <row r="135" spans="2:11">
      <c r="B135">
        <v>131</v>
      </c>
      <c r="C135" t="s">
        <v>26</v>
      </c>
      <c r="D135">
        <v>71</v>
      </c>
      <c r="E135" t="str">
        <f>IF(VLOOKUP(D135,Couleurs!A:B,2) = 0, "[" &amp; D135 &amp; "]",VLOOKUP(D135,Couleurs!A:B,2))</f>
        <v>ROCK</v>
      </c>
      <c r="F135" s="1" t="s">
        <v>159</v>
      </c>
      <c r="G135">
        <v>1</v>
      </c>
      <c r="H135" t="s">
        <v>1555</v>
      </c>
      <c r="I135" t="s">
        <v>1555</v>
      </c>
      <c r="J135">
        <f t="shared" si="4"/>
        <v>14.4</v>
      </c>
      <c r="K135" t="b">
        <f t="shared" si="5"/>
        <v>1</v>
      </c>
    </row>
    <row r="136" spans="2:11">
      <c r="B136">
        <v>132</v>
      </c>
      <c r="C136" t="s">
        <v>21</v>
      </c>
      <c r="D136">
        <v>17</v>
      </c>
      <c r="E136" t="str">
        <f>IF(VLOOKUP(D136,Couleurs!A:B,2) = 0, "[" &amp; D136 &amp; "]",VLOOKUP(D136,Couleurs!A:B,2))</f>
        <v>NAVY BLUE</v>
      </c>
      <c r="F136" s="1" t="s">
        <v>154</v>
      </c>
      <c r="G136">
        <v>1</v>
      </c>
      <c r="H136" t="s">
        <v>1555</v>
      </c>
      <c r="I136" t="s">
        <v>1555</v>
      </c>
      <c r="J136">
        <f t="shared" si="4"/>
        <v>14.4</v>
      </c>
      <c r="K136" t="b">
        <f t="shared" si="5"/>
        <v>1</v>
      </c>
    </row>
    <row r="137" spans="2:11">
      <c r="B137">
        <v>133</v>
      </c>
      <c r="C137" t="s">
        <v>25</v>
      </c>
      <c r="D137">
        <v>71</v>
      </c>
      <c r="E137" t="str">
        <f>IF(VLOOKUP(D137,Couleurs!A:B,2) = 0, "[" &amp; D137 &amp; "]",VLOOKUP(D137,Couleurs!A:B,2))</f>
        <v>ROCK</v>
      </c>
      <c r="F137" s="1" t="s">
        <v>158</v>
      </c>
      <c r="G137">
        <v>2</v>
      </c>
      <c r="H137" t="s">
        <v>1576</v>
      </c>
      <c r="I137" t="s">
        <v>1571</v>
      </c>
      <c r="J137">
        <f t="shared" si="4"/>
        <v>25.2</v>
      </c>
      <c r="K137" t="b">
        <f t="shared" si="5"/>
        <v>1</v>
      </c>
    </row>
    <row r="138" spans="2:11">
      <c r="B138">
        <v>134</v>
      </c>
      <c r="C138" t="s">
        <v>52</v>
      </c>
      <c r="D138">
        <v>78</v>
      </c>
      <c r="E138" t="str">
        <f>IF(VLOOKUP(D138,Couleurs!A:B,2) = 0, "[" &amp; D138 &amp; "]",VLOOKUP(D138,Couleurs!A:B,2))</f>
        <v>SAND</v>
      </c>
      <c r="F138" s="1" t="s">
        <v>188</v>
      </c>
      <c r="G138">
        <v>2</v>
      </c>
      <c r="H138" t="s">
        <v>1631</v>
      </c>
      <c r="I138" t="s">
        <v>1632</v>
      </c>
      <c r="J138">
        <f t="shared" si="4"/>
        <v>22.8</v>
      </c>
      <c r="K138" t="b">
        <f t="shared" si="5"/>
        <v>1</v>
      </c>
    </row>
    <row r="139" spans="2:11">
      <c r="B139">
        <v>135</v>
      </c>
      <c r="C139" t="s">
        <v>21</v>
      </c>
      <c r="D139">
        <v>158</v>
      </c>
      <c r="E139" t="str">
        <f>IF(VLOOKUP(D139,Couleurs!A:B,2) = 0, "[" &amp; D139 &amp; "]",VLOOKUP(D139,Couleurs!A:B,2))</f>
        <v>VOLCANO</v>
      </c>
      <c r="F139" s="1" t="s">
        <v>154</v>
      </c>
      <c r="G139">
        <v>1</v>
      </c>
      <c r="H139" t="s">
        <v>1555</v>
      </c>
      <c r="I139" t="s">
        <v>1555</v>
      </c>
      <c r="J139">
        <f t="shared" si="4"/>
        <v>14.4</v>
      </c>
      <c r="K139" t="b">
        <f t="shared" si="5"/>
        <v>1</v>
      </c>
    </row>
    <row r="140" spans="2:11">
      <c r="B140">
        <v>136</v>
      </c>
      <c r="C140" t="s">
        <v>26</v>
      </c>
      <c r="D140">
        <v>76</v>
      </c>
      <c r="E140" t="str">
        <f>IF(VLOOKUP(D140,Couleurs!A:B,2) = 0, "[" &amp; D140 &amp; "]",VLOOKUP(D140,Couleurs!A:B,2))</f>
        <v>[76]</v>
      </c>
      <c r="F140" s="1" t="s">
        <v>159</v>
      </c>
      <c r="G140">
        <v>3</v>
      </c>
      <c r="H140" t="s">
        <v>1555</v>
      </c>
      <c r="I140" t="s">
        <v>1565</v>
      </c>
      <c r="J140">
        <f t="shared" si="4"/>
        <v>43.2</v>
      </c>
      <c r="K140" t="b">
        <f t="shared" si="5"/>
        <v>1</v>
      </c>
    </row>
    <row r="141" spans="2:11">
      <c r="B141">
        <v>137</v>
      </c>
      <c r="C141" t="s">
        <v>22</v>
      </c>
      <c r="D141">
        <v>76</v>
      </c>
      <c r="E141" t="str">
        <f>IF(VLOOKUP(D141,Couleurs!A:B,2) = 0, "[" &amp; D141 &amp; "]",VLOOKUP(D141,Couleurs!A:B,2))</f>
        <v>[76]</v>
      </c>
      <c r="F141" s="1" t="s">
        <v>155</v>
      </c>
      <c r="G141">
        <v>2</v>
      </c>
      <c r="H141" t="s">
        <v>1555</v>
      </c>
      <c r="I141" t="s">
        <v>1574</v>
      </c>
      <c r="J141">
        <f t="shared" si="4"/>
        <v>28.8</v>
      </c>
      <c r="K141" t="b">
        <f t="shared" si="5"/>
        <v>1</v>
      </c>
    </row>
    <row r="142" spans="2:11">
      <c r="B142">
        <v>138</v>
      </c>
      <c r="C142" t="s">
        <v>23</v>
      </c>
      <c r="D142">
        <v>76</v>
      </c>
      <c r="E142" t="str">
        <f>IF(VLOOKUP(D142,Couleurs!A:B,2) = 0, "[" &amp; D142 &amp; "]",VLOOKUP(D142,Couleurs!A:B,2))</f>
        <v>[76]</v>
      </c>
      <c r="F142" s="1" t="s">
        <v>156</v>
      </c>
      <c r="G142">
        <v>2</v>
      </c>
      <c r="H142" t="s">
        <v>1575</v>
      </c>
      <c r="I142" t="s">
        <v>1578</v>
      </c>
      <c r="J142">
        <f t="shared" si="4"/>
        <v>26.16</v>
      </c>
      <c r="K142" t="b">
        <f t="shared" si="5"/>
        <v>1</v>
      </c>
    </row>
    <row r="143" spans="2:11">
      <c r="B143">
        <v>139</v>
      </c>
      <c r="C143" t="s">
        <v>1603</v>
      </c>
      <c r="D143">
        <v>55</v>
      </c>
      <c r="E143" t="str">
        <f>IF(VLOOKUP(D143,Couleurs!A:B,2) = 0, "[" &amp; D143 &amp; "]",VLOOKUP(D143,Couleurs!A:B,2))</f>
        <v>BLACK</v>
      </c>
      <c r="F143" s="1" t="s">
        <v>1604</v>
      </c>
      <c r="G143">
        <v>2</v>
      </c>
      <c r="H143" t="s">
        <v>1605</v>
      </c>
      <c r="I143" t="s">
        <v>1606</v>
      </c>
      <c r="J143">
        <f t="shared" si="4"/>
        <v>27.84</v>
      </c>
      <c r="K143" t="b">
        <f t="shared" si="5"/>
        <v>1</v>
      </c>
    </row>
    <row r="144" spans="2:11">
      <c r="B144">
        <v>140</v>
      </c>
      <c r="C144" t="s">
        <v>1603</v>
      </c>
      <c r="D144">
        <v>78</v>
      </c>
      <c r="E144" t="str">
        <f>IF(VLOOKUP(D144,Couleurs!A:B,2) = 0, "[" &amp; D144 &amp; "]",VLOOKUP(D144,Couleurs!A:B,2))</f>
        <v>SAND</v>
      </c>
      <c r="F144" s="1" t="s">
        <v>1604</v>
      </c>
      <c r="G144">
        <v>2</v>
      </c>
      <c r="H144" t="s">
        <v>1605</v>
      </c>
      <c r="I144" t="s">
        <v>1606</v>
      </c>
      <c r="J144">
        <f t="shared" si="4"/>
        <v>27.84</v>
      </c>
      <c r="K144" t="b">
        <f t="shared" si="5"/>
        <v>1</v>
      </c>
    </row>
    <row r="145" spans="2:11">
      <c r="B145">
        <v>141</v>
      </c>
      <c r="C145" t="s">
        <v>24</v>
      </c>
      <c r="D145">
        <v>75</v>
      </c>
      <c r="E145" t="str">
        <f>IF(VLOOKUP(D145,Couleurs!A:B,2) = 0, "[" &amp; D145 &amp; "]",VLOOKUP(D145,Couleurs!A:B,2))</f>
        <v>[75]</v>
      </c>
      <c r="F145" s="1" t="s">
        <v>157</v>
      </c>
      <c r="G145">
        <v>3</v>
      </c>
      <c r="H145" t="s">
        <v>1554</v>
      </c>
      <c r="I145" t="s">
        <v>1555</v>
      </c>
      <c r="J145">
        <f t="shared" si="4"/>
        <v>14.399999999999999</v>
      </c>
      <c r="K145" t="b">
        <f t="shared" si="5"/>
        <v>1</v>
      </c>
    </row>
    <row r="146" spans="2:11">
      <c r="B146">
        <v>142</v>
      </c>
      <c r="C146" t="s">
        <v>1</v>
      </c>
      <c r="D146">
        <v>221</v>
      </c>
      <c r="E146" t="str">
        <f>IF(VLOOKUP(D146,Couleurs!A:B,2) = 0, "[" &amp; D146 &amp; "]",VLOOKUP(D146,Couleurs!A:B,2))</f>
        <v>[221]</v>
      </c>
      <c r="F146" s="1" t="s">
        <v>137</v>
      </c>
      <c r="G146">
        <v>6</v>
      </c>
      <c r="H146" t="s">
        <v>1552</v>
      </c>
      <c r="I146" t="s">
        <v>2190</v>
      </c>
      <c r="J146">
        <f t="shared" si="4"/>
        <v>76.320000000000007</v>
      </c>
      <c r="K146" t="b">
        <f t="shared" si="5"/>
        <v>1</v>
      </c>
    </row>
    <row r="147" spans="2:11">
      <c r="B147">
        <v>143</v>
      </c>
      <c r="C147" t="s">
        <v>23</v>
      </c>
      <c r="D147">
        <v>371</v>
      </c>
      <c r="E147" t="str">
        <f>IF(VLOOKUP(D147,Couleurs!A:B,2) = 0, "[" &amp; D147 &amp; "]",VLOOKUP(D147,Couleurs!A:B,2))</f>
        <v>MILK</v>
      </c>
      <c r="F147" s="1" t="s">
        <v>156</v>
      </c>
      <c r="G147">
        <v>1</v>
      </c>
      <c r="H147" t="s">
        <v>1575</v>
      </c>
      <c r="I147" t="s">
        <v>1575</v>
      </c>
      <c r="J147">
        <f t="shared" si="4"/>
        <v>13.08</v>
      </c>
      <c r="K147" t="b">
        <f t="shared" si="5"/>
        <v>1</v>
      </c>
    </row>
    <row r="148" spans="2:11">
      <c r="B148">
        <v>144</v>
      </c>
      <c r="C148" t="s">
        <v>25</v>
      </c>
      <c r="D148">
        <v>371</v>
      </c>
      <c r="E148" t="str">
        <f>IF(VLOOKUP(D148,Couleurs!A:B,2) = 0, "[" &amp; D148 &amp; "]",VLOOKUP(D148,Couleurs!A:B,2))</f>
        <v>MILK</v>
      </c>
      <c r="F148" s="1" t="s">
        <v>158</v>
      </c>
      <c r="G148">
        <v>2</v>
      </c>
      <c r="H148" t="s">
        <v>1576</v>
      </c>
      <c r="I148" t="s">
        <v>1571</v>
      </c>
      <c r="J148">
        <f t="shared" si="4"/>
        <v>25.2</v>
      </c>
      <c r="K148" t="b">
        <f t="shared" si="5"/>
        <v>1</v>
      </c>
    </row>
    <row r="149" spans="2:11">
      <c r="B149">
        <v>145</v>
      </c>
      <c r="C149" t="s">
        <v>34</v>
      </c>
      <c r="D149">
        <v>75</v>
      </c>
      <c r="E149" t="str">
        <f>IF(VLOOKUP(D149,Couleurs!A:B,2) = 0, "[" &amp; D149 &amp; "]",VLOOKUP(D149,Couleurs!A:B,2))</f>
        <v>[75]</v>
      </c>
      <c r="F149" s="1" t="s">
        <v>170</v>
      </c>
      <c r="G149">
        <v>2</v>
      </c>
      <c r="H149" t="s">
        <v>1607</v>
      </c>
      <c r="I149" t="s">
        <v>1608</v>
      </c>
      <c r="J149">
        <f t="shared" si="4"/>
        <v>22.08</v>
      </c>
      <c r="K149" t="b">
        <f t="shared" si="5"/>
        <v>1</v>
      </c>
    </row>
    <row r="150" spans="2:11">
      <c r="B150">
        <v>146</v>
      </c>
      <c r="C150" t="s">
        <v>13</v>
      </c>
      <c r="D150">
        <v>130</v>
      </c>
      <c r="E150" t="str">
        <f>IF(VLOOKUP(D150,Couleurs!A:B,2) = 0, "[" &amp; D150 &amp; "]",VLOOKUP(D150,Couleurs!A:B,2))</f>
        <v>[130]</v>
      </c>
      <c r="F150" s="1" t="s">
        <v>164</v>
      </c>
      <c r="G150">
        <v>2</v>
      </c>
      <c r="H150" t="s">
        <v>1591</v>
      </c>
      <c r="I150" t="s">
        <v>1592</v>
      </c>
      <c r="J150">
        <f t="shared" si="4"/>
        <v>19.440000000000001</v>
      </c>
      <c r="K150" t="b">
        <f t="shared" si="5"/>
        <v>1</v>
      </c>
    </row>
    <row r="151" spans="2:11">
      <c r="B151">
        <v>147</v>
      </c>
      <c r="C151" t="s">
        <v>62</v>
      </c>
      <c r="D151">
        <v>8</v>
      </c>
      <c r="E151" t="str">
        <f>IF(VLOOKUP(D151,Couleurs!A:B,2) = 0, "[" &amp; D151 &amp; "]",VLOOKUP(D151,Couleurs!A:B,2))</f>
        <v>WHITE</v>
      </c>
      <c r="F151" s="1" t="s">
        <v>198</v>
      </c>
      <c r="G151">
        <v>2</v>
      </c>
      <c r="H151" t="s">
        <v>1552</v>
      </c>
      <c r="I151" t="s">
        <v>1562</v>
      </c>
      <c r="J151">
        <f t="shared" si="4"/>
        <v>25.44</v>
      </c>
      <c r="K151" t="b">
        <f t="shared" si="5"/>
        <v>1</v>
      </c>
    </row>
    <row r="152" spans="2:11">
      <c r="B152">
        <v>148</v>
      </c>
      <c r="C152" t="s">
        <v>24</v>
      </c>
      <c r="D152">
        <v>479</v>
      </c>
      <c r="E152" t="str">
        <f>IF(VLOOKUP(D152,Couleurs!A:B,2) = 0, "[" &amp; D152 &amp; "]",VLOOKUP(D152,Couleurs!A:B,2))</f>
        <v>[479]</v>
      </c>
      <c r="F152" s="1" t="s">
        <v>157</v>
      </c>
      <c r="G152">
        <v>3</v>
      </c>
      <c r="H152" t="s">
        <v>1554</v>
      </c>
      <c r="I152" t="s">
        <v>1555</v>
      </c>
      <c r="J152">
        <f t="shared" si="4"/>
        <v>14.399999999999999</v>
      </c>
      <c r="K152" t="b">
        <f t="shared" si="5"/>
        <v>1</v>
      </c>
    </row>
    <row r="153" spans="2:11">
      <c r="B153">
        <v>149</v>
      </c>
      <c r="C153" t="s">
        <v>63</v>
      </c>
      <c r="D153">
        <v>480</v>
      </c>
      <c r="E153" t="str">
        <f>IF(VLOOKUP(D153,Couleurs!A:B,2) = 0, "[" &amp; D153 &amp; "]",VLOOKUP(D153,Couleurs!A:B,2))</f>
        <v>[480]</v>
      </c>
      <c r="F153" s="1" t="s">
        <v>199</v>
      </c>
      <c r="G153">
        <v>2</v>
      </c>
      <c r="H153" t="s">
        <v>1563</v>
      </c>
      <c r="I153" t="s">
        <v>1609</v>
      </c>
      <c r="J153">
        <f t="shared" si="4"/>
        <v>23.76</v>
      </c>
      <c r="K153" t="b">
        <f t="shared" si="5"/>
        <v>1</v>
      </c>
    </row>
    <row r="154" spans="2:11">
      <c r="B154">
        <v>150</v>
      </c>
      <c r="C154" t="s">
        <v>64</v>
      </c>
      <c r="D154">
        <v>483</v>
      </c>
      <c r="E154" t="str">
        <f>IF(VLOOKUP(D154,Couleurs!A:B,2) = 0, "[" &amp; D154 &amp; "]",VLOOKUP(D154,Couleurs!A:B,2))</f>
        <v>[483]</v>
      </c>
      <c r="F154" s="1" t="s">
        <v>200</v>
      </c>
      <c r="G154">
        <v>3</v>
      </c>
      <c r="H154" t="s">
        <v>1573</v>
      </c>
      <c r="I154" t="s">
        <v>1574</v>
      </c>
      <c r="J154">
        <f t="shared" si="4"/>
        <v>28.799999999999997</v>
      </c>
      <c r="K154" t="b">
        <f t="shared" si="5"/>
        <v>1</v>
      </c>
    </row>
    <row r="155" spans="2:11">
      <c r="B155">
        <v>151</v>
      </c>
      <c r="C155" t="s">
        <v>29</v>
      </c>
      <c r="D155">
        <v>36</v>
      </c>
      <c r="E155" t="str">
        <f>IF(VLOOKUP(D155,Couleurs!A:B,2) = 0, "[" &amp; D155 &amp; "]",VLOOKUP(D155,Couleurs!A:B,2))</f>
        <v>[36]</v>
      </c>
      <c r="F155" s="1" t="s">
        <v>162</v>
      </c>
      <c r="G155">
        <v>2</v>
      </c>
      <c r="H155" t="s">
        <v>1584</v>
      </c>
      <c r="I155" t="s">
        <v>1589</v>
      </c>
      <c r="J155">
        <f t="shared" si="4"/>
        <v>14.16</v>
      </c>
      <c r="K155" t="b">
        <f t="shared" si="5"/>
        <v>1</v>
      </c>
    </row>
    <row r="156" spans="2:11">
      <c r="B156">
        <v>152</v>
      </c>
      <c r="C156" t="s">
        <v>29</v>
      </c>
      <c r="D156">
        <v>133</v>
      </c>
      <c r="E156" t="str">
        <f>IF(VLOOKUP(D156,Couleurs!A:B,2) = 0, "[" &amp; D156 &amp; "]",VLOOKUP(D156,Couleurs!A:B,2))</f>
        <v>LIGHT GREY</v>
      </c>
      <c r="F156" s="1" t="s">
        <v>162</v>
      </c>
      <c r="G156">
        <v>2</v>
      </c>
      <c r="H156" t="s">
        <v>1584</v>
      </c>
      <c r="I156" t="s">
        <v>1589</v>
      </c>
      <c r="J156">
        <f t="shared" si="4"/>
        <v>14.16</v>
      </c>
      <c r="K156" t="b">
        <f t="shared" si="5"/>
        <v>1</v>
      </c>
    </row>
    <row r="157" spans="2:11">
      <c r="B157">
        <v>153</v>
      </c>
      <c r="C157" t="s">
        <v>32</v>
      </c>
      <c r="D157">
        <v>75</v>
      </c>
      <c r="E157" t="str">
        <f>IF(VLOOKUP(D157,Couleurs!A:B,2) = 0, "[" &amp; D157 &amp; "]",VLOOKUP(D157,Couleurs!A:B,2))</f>
        <v>[75]</v>
      </c>
      <c r="F157" s="1" t="s">
        <v>168</v>
      </c>
      <c r="G157">
        <v>6</v>
      </c>
      <c r="H157" t="s">
        <v>1598</v>
      </c>
      <c r="I157" t="s">
        <v>1640</v>
      </c>
      <c r="J157">
        <f t="shared" si="4"/>
        <v>27.36</v>
      </c>
      <c r="K157" t="b">
        <f t="shared" si="5"/>
        <v>1</v>
      </c>
    </row>
    <row r="158" spans="2:11">
      <c r="B158">
        <v>154</v>
      </c>
      <c r="C158" t="s">
        <v>1593</v>
      </c>
      <c r="D158">
        <v>130</v>
      </c>
      <c r="E158" t="str">
        <f>IF(VLOOKUP(D158,Couleurs!A:B,2) = 0, "[" &amp; D158 &amp; "]",VLOOKUP(D158,Couleurs!A:B,2))</f>
        <v>[130]</v>
      </c>
      <c r="F158" s="1" t="s">
        <v>2181</v>
      </c>
      <c r="G158">
        <v>2</v>
      </c>
      <c r="H158" t="s">
        <v>1552</v>
      </c>
      <c r="I158" t="s">
        <v>1562</v>
      </c>
      <c r="J158">
        <f t="shared" si="4"/>
        <v>25.44</v>
      </c>
      <c r="K158" t="b">
        <f t="shared" si="5"/>
        <v>1</v>
      </c>
    </row>
    <row r="159" spans="2:11">
      <c r="B159">
        <v>155</v>
      </c>
      <c r="C159" t="s">
        <v>0</v>
      </c>
      <c r="D159">
        <v>76</v>
      </c>
      <c r="E159" t="str">
        <f>IF(VLOOKUP(D159,Couleurs!A:B,2) = 0, "[" &amp; D159 &amp; "]",VLOOKUP(D159,Couleurs!A:B,2))</f>
        <v>[76]</v>
      </c>
      <c r="F159" s="1" t="s">
        <v>136</v>
      </c>
      <c r="G159">
        <v>2</v>
      </c>
      <c r="H159" t="s">
        <v>1550</v>
      </c>
      <c r="I159" t="s">
        <v>1564</v>
      </c>
      <c r="J159">
        <f t="shared" si="4"/>
        <v>15.6</v>
      </c>
      <c r="K159" t="b">
        <f t="shared" si="5"/>
        <v>1</v>
      </c>
    </row>
    <row r="160" spans="2:11">
      <c r="B160">
        <v>156</v>
      </c>
      <c r="C160" t="s">
        <v>1641</v>
      </c>
      <c r="D160">
        <v>17</v>
      </c>
      <c r="E160" t="str">
        <f>IF(VLOOKUP(D160,Couleurs!A:B,2) = 0, "[" &amp; D160 &amp; "]",VLOOKUP(D160,Couleurs!A:B,2))</f>
        <v>NAVY BLUE</v>
      </c>
      <c r="F160" s="1" t="s">
        <v>2191</v>
      </c>
      <c r="G160">
        <v>4</v>
      </c>
      <c r="H160" t="s">
        <v>1555</v>
      </c>
      <c r="I160" t="s">
        <v>2177</v>
      </c>
      <c r="J160">
        <f t="shared" si="4"/>
        <v>57.6</v>
      </c>
      <c r="K160" t="b">
        <f t="shared" si="5"/>
        <v>1</v>
      </c>
    </row>
    <row r="161" spans="2:11">
      <c r="B161">
        <v>157</v>
      </c>
      <c r="C161" t="s">
        <v>65</v>
      </c>
      <c r="D161">
        <v>227</v>
      </c>
      <c r="E161" t="str">
        <f>IF(VLOOKUP(D161,Couleurs!A:B,2) = 0, "[" &amp; D161 &amp; "]",VLOOKUP(D161,Couleurs!A:B,2))</f>
        <v>[227]</v>
      </c>
      <c r="F161" s="1" t="s">
        <v>201</v>
      </c>
      <c r="G161">
        <v>2</v>
      </c>
      <c r="H161" t="s">
        <v>1555</v>
      </c>
      <c r="I161" t="s">
        <v>1574</v>
      </c>
      <c r="J161">
        <f t="shared" si="4"/>
        <v>28.8</v>
      </c>
      <c r="K161" t="b">
        <f t="shared" si="5"/>
        <v>1</v>
      </c>
    </row>
    <row r="162" spans="2:11">
      <c r="B162">
        <v>158</v>
      </c>
      <c r="C162" t="s">
        <v>3</v>
      </c>
      <c r="D162">
        <v>472</v>
      </c>
      <c r="E162" t="str">
        <f>IF(VLOOKUP(D162,Couleurs!A:B,2) = 0, "[" &amp; D162 &amp; "]",VLOOKUP(D162,Couleurs!A:B,2))</f>
        <v>[472]</v>
      </c>
      <c r="F162" s="1" t="s">
        <v>139</v>
      </c>
      <c r="G162">
        <v>3</v>
      </c>
      <c r="H162" t="s">
        <v>1556</v>
      </c>
      <c r="I162" t="s">
        <v>1622</v>
      </c>
      <c r="J162">
        <f t="shared" si="4"/>
        <v>40.32</v>
      </c>
      <c r="K162" t="b">
        <f t="shared" si="5"/>
        <v>1</v>
      </c>
    </row>
    <row r="163" spans="2:11">
      <c r="B163">
        <v>159</v>
      </c>
      <c r="C163" t="s">
        <v>8</v>
      </c>
      <c r="D163">
        <v>55</v>
      </c>
      <c r="E163" t="str">
        <f>IF(VLOOKUP(D163,Couleurs!A:B,2) = 0, "[" &amp; D163 &amp; "]",VLOOKUP(D163,Couleurs!A:B,2))</f>
        <v>BLACK</v>
      </c>
      <c r="F163" s="1" t="s">
        <v>144</v>
      </c>
      <c r="G163">
        <v>2</v>
      </c>
      <c r="H163" t="s">
        <v>1550</v>
      </c>
      <c r="I163" t="s">
        <v>1564</v>
      </c>
      <c r="J163">
        <f t="shared" si="4"/>
        <v>15.6</v>
      </c>
      <c r="K163" t="b">
        <f t="shared" si="5"/>
        <v>1</v>
      </c>
    </row>
    <row r="164" spans="2:11">
      <c r="B164">
        <v>160</v>
      </c>
      <c r="C164" t="s">
        <v>46</v>
      </c>
      <c r="D164">
        <v>489</v>
      </c>
      <c r="E164" t="str">
        <f>IF(VLOOKUP(D164,Couleurs!A:B,2) = 0, "[" &amp; D164 &amp; "]",VLOOKUP(D164,Couleurs!A:B,2))</f>
        <v>[489]</v>
      </c>
      <c r="F164" s="1" t="s">
        <v>182</v>
      </c>
      <c r="G164">
        <v>2</v>
      </c>
      <c r="H164" t="s">
        <v>1556</v>
      </c>
      <c r="I164" t="s">
        <v>1557</v>
      </c>
      <c r="J164">
        <f t="shared" si="4"/>
        <v>26.88</v>
      </c>
      <c r="K164" t="b">
        <f t="shared" si="5"/>
        <v>1</v>
      </c>
    </row>
    <row r="165" spans="2:11">
      <c r="B165">
        <v>161</v>
      </c>
      <c r="C165" t="s">
        <v>66</v>
      </c>
      <c r="D165">
        <v>476</v>
      </c>
      <c r="E165" t="str">
        <f>IF(VLOOKUP(D165,Couleurs!A:B,2) = 0, "[" &amp; D165 &amp; "]",VLOOKUP(D165,Couleurs!A:B,2))</f>
        <v>[476]</v>
      </c>
      <c r="F165" s="1" t="s">
        <v>202</v>
      </c>
      <c r="G165">
        <v>2</v>
      </c>
      <c r="H165" t="s">
        <v>1555</v>
      </c>
      <c r="I165" t="s">
        <v>1574</v>
      </c>
      <c r="J165">
        <f t="shared" si="4"/>
        <v>28.8</v>
      </c>
      <c r="K165" t="b">
        <f t="shared" si="5"/>
        <v>1</v>
      </c>
    </row>
    <row r="166" spans="2:11">
      <c r="B166">
        <v>162</v>
      </c>
      <c r="C166" t="s">
        <v>67</v>
      </c>
      <c r="D166">
        <v>500</v>
      </c>
      <c r="E166" t="str">
        <f>IF(VLOOKUP(D166,Couleurs!A:B,2) = 0, "[" &amp; D166 &amp; "]",VLOOKUP(D166,Couleurs!A:B,2))</f>
        <v>[500]</v>
      </c>
      <c r="F166" s="1" t="s">
        <v>203</v>
      </c>
      <c r="G166">
        <v>4</v>
      </c>
      <c r="H166" t="s">
        <v>1550</v>
      </c>
      <c r="I166" t="s">
        <v>1569</v>
      </c>
      <c r="J166">
        <f t="shared" si="4"/>
        <v>31.2</v>
      </c>
      <c r="K166" t="b">
        <f t="shared" si="5"/>
        <v>1</v>
      </c>
    </row>
    <row r="167" spans="2:11">
      <c r="B167">
        <v>163</v>
      </c>
      <c r="C167" t="s">
        <v>68</v>
      </c>
      <c r="D167">
        <v>36</v>
      </c>
      <c r="E167" t="str">
        <f>IF(VLOOKUP(D167,Couleurs!A:B,2) = 0, "[" &amp; D167 &amp; "]",VLOOKUP(D167,Couleurs!A:B,2))</f>
        <v>[36]</v>
      </c>
      <c r="F167" s="1" t="s">
        <v>204</v>
      </c>
      <c r="G167">
        <v>2</v>
      </c>
      <c r="H167" t="s">
        <v>1596</v>
      </c>
      <c r="I167" t="s">
        <v>1597</v>
      </c>
      <c r="J167">
        <f t="shared" si="4"/>
        <v>21.6</v>
      </c>
      <c r="K167" t="b">
        <f t="shared" si="5"/>
        <v>1</v>
      </c>
    </row>
    <row r="168" spans="2:11">
      <c r="B168">
        <v>164</v>
      </c>
      <c r="C168" t="s">
        <v>49</v>
      </c>
      <c r="D168">
        <v>422</v>
      </c>
      <c r="E168" t="str">
        <f>IF(VLOOKUP(D168,Couleurs!A:B,2) = 0, "[" &amp; D168 &amp; "]",VLOOKUP(D168,Couleurs!A:B,2))</f>
        <v>SANGRIA</v>
      </c>
      <c r="F168" s="1" t="s">
        <v>185</v>
      </c>
      <c r="G168">
        <v>3</v>
      </c>
      <c r="H168" t="s">
        <v>1584</v>
      </c>
      <c r="I168" t="s">
        <v>1585</v>
      </c>
      <c r="J168">
        <f t="shared" si="4"/>
        <v>21.240000000000002</v>
      </c>
      <c r="K168" t="b">
        <f t="shared" si="5"/>
        <v>1</v>
      </c>
    </row>
    <row r="169" spans="2:11">
      <c r="B169">
        <v>165</v>
      </c>
      <c r="C169" t="s">
        <v>69</v>
      </c>
      <c r="D169">
        <v>75</v>
      </c>
      <c r="E169" t="str">
        <f>IF(VLOOKUP(D169,Couleurs!A:B,2) = 0, "[" &amp; D169 &amp; "]",VLOOKUP(D169,Couleurs!A:B,2))</f>
        <v>[75]</v>
      </c>
      <c r="F169" s="1" t="s">
        <v>205</v>
      </c>
      <c r="G169">
        <v>2</v>
      </c>
      <c r="H169" t="s">
        <v>1568</v>
      </c>
      <c r="I169" t="s">
        <v>1642</v>
      </c>
      <c r="J169">
        <f t="shared" si="4"/>
        <v>38.64</v>
      </c>
      <c r="K169" t="b">
        <f t="shared" si="5"/>
        <v>1</v>
      </c>
    </row>
    <row r="170" spans="2:11">
      <c r="B170">
        <v>166</v>
      </c>
      <c r="C170" t="s">
        <v>4</v>
      </c>
      <c r="D170">
        <v>371</v>
      </c>
      <c r="E170" t="str">
        <f>IF(VLOOKUP(D170,Couleurs!A:B,2) = 0, "[" &amp; D170 &amp; "]",VLOOKUP(D170,Couleurs!A:B,2))</f>
        <v>MILK</v>
      </c>
      <c r="F170" s="1" t="s">
        <v>140</v>
      </c>
      <c r="G170">
        <v>2</v>
      </c>
      <c r="H170" t="s">
        <v>1558</v>
      </c>
      <c r="I170" t="s">
        <v>1559</v>
      </c>
      <c r="J170">
        <f t="shared" si="4"/>
        <v>36.24</v>
      </c>
      <c r="K170" t="b">
        <f t="shared" si="5"/>
        <v>1</v>
      </c>
    </row>
    <row r="171" spans="2:11">
      <c r="B171">
        <v>167</v>
      </c>
      <c r="C171" t="s">
        <v>9</v>
      </c>
      <c r="D171">
        <v>76</v>
      </c>
      <c r="E171" t="str">
        <f>IF(VLOOKUP(D171,Couleurs!A:B,2) = 0, "[" &amp; D171 &amp; "]",VLOOKUP(D171,Couleurs!A:B,2))</f>
        <v>[76]</v>
      </c>
      <c r="F171" s="1" t="s">
        <v>145</v>
      </c>
      <c r="G171">
        <v>3</v>
      </c>
      <c r="H171" t="s">
        <v>1555</v>
      </c>
      <c r="I171" t="s">
        <v>1565</v>
      </c>
      <c r="J171">
        <f t="shared" si="4"/>
        <v>43.2</v>
      </c>
      <c r="K171" t="b">
        <f t="shared" si="5"/>
        <v>1</v>
      </c>
    </row>
    <row r="172" spans="2:11">
      <c r="B172">
        <v>168</v>
      </c>
      <c r="C172" t="s">
        <v>51</v>
      </c>
      <c r="D172">
        <v>371</v>
      </c>
      <c r="E172" t="str">
        <f>IF(VLOOKUP(D172,Couleurs!A:B,2) = 0, "[" &amp; D172 &amp; "]",VLOOKUP(D172,Couleurs!A:B,2))</f>
        <v>MILK</v>
      </c>
      <c r="F172" s="1" t="s">
        <v>187</v>
      </c>
      <c r="G172">
        <v>8</v>
      </c>
      <c r="H172" t="s">
        <v>1598</v>
      </c>
      <c r="I172" t="s">
        <v>1630</v>
      </c>
      <c r="J172">
        <f t="shared" si="4"/>
        <v>36.479999999999997</v>
      </c>
      <c r="K172" t="b">
        <f t="shared" si="5"/>
        <v>1</v>
      </c>
    </row>
    <row r="173" spans="2:11">
      <c r="B173">
        <v>169</v>
      </c>
      <c r="C173" t="s">
        <v>4</v>
      </c>
      <c r="D173">
        <v>36</v>
      </c>
      <c r="E173" t="str">
        <f>IF(VLOOKUP(D173,Couleurs!A:B,2) = 0, "[" &amp; D173 &amp; "]",VLOOKUP(D173,Couleurs!A:B,2))</f>
        <v>[36]</v>
      </c>
      <c r="F173" s="1" t="s">
        <v>140</v>
      </c>
      <c r="G173">
        <v>2</v>
      </c>
      <c r="H173" t="s">
        <v>1558</v>
      </c>
      <c r="I173" t="s">
        <v>1559</v>
      </c>
      <c r="J173">
        <f t="shared" si="4"/>
        <v>36.24</v>
      </c>
      <c r="K173" t="b">
        <f t="shared" si="5"/>
        <v>1</v>
      </c>
    </row>
    <row r="174" spans="2:11">
      <c r="B174">
        <v>170</v>
      </c>
      <c r="C174" t="s">
        <v>70</v>
      </c>
      <c r="D174">
        <v>36</v>
      </c>
      <c r="E174" t="str">
        <f>IF(VLOOKUP(D174,Couleurs!A:B,2) = 0, "[" &amp; D174 &amp; "]",VLOOKUP(D174,Couleurs!A:B,2))</f>
        <v>[36]</v>
      </c>
      <c r="F174" s="1" t="s">
        <v>206</v>
      </c>
      <c r="G174">
        <v>2</v>
      </c>
      <c r="H174" t="s">
        <v>1563</v>
      </c>
      <c r="I174" t="s">
        <v>1609</v>
      </c>
      <c r="J174">
        <f t="shared" si="4"/>
        <v>23.76</v>
      </c>
      <c r="K174" t="b">
        <f t="shared" si="5"/>
        <v>1</v>
      </c>
    </row>
    <row r="175" spans="2:11">
      <c r="B175">
        <v>171</v>
      </c>
      <c r="C175" t="s">
        <v>1593</v>
      </c>
      <c r="D175">
        <v>17</v>
      </c>
      <c r="E175" t="str">
        <f>IF(VLOOKUP(D175,Couleurs!A:B,2) = 0, "[" &amp; D175 &amp; "]",VLOOKUP(D175,Couleurs!A:B,2))</f>
        <v>NAVY BLUE</v>
      </c>
      <c r="F175" s="1" t="s">
        <v>2181</v>
      </c>
      <c r="G175">
        <v>2</v>
      </c>
      <c r="H175" t="s">
        <v>1552</v>
      </c>
      <c r="I175" t="s">
        <v>1562</v>
      </c>
      <c r="J175">
        <f t="shared" si="4"/>
        <v>25.44</v>
      </c>
      <c r="K175" t="b">
        <f t="shared" si="5"/>
        <v>1</v>
      </c>
    </row>
    <row r="176" spans="2:11">
      <c r="B176">
        <v>172</v>
      </c>
      <c r="C176" t="s">
        <v>71</v>
      </c>
      <c r="D176">
        <v>227</v>
      </c>
      <c r="E176" t="str">
        <f>IF(VLOOKUP(D176,Couleurs!A:B,2) = 0, "[" &amp; D176 &amp; "]",VLOOKUP(D176,Couleurs!A:B,2))</f>
        <v>[227]</v>
      </c>
      <c r="F176" s="1" t="s">
        <v>207</v>
      </c>
      <c r="G176">
        <v>2</v>
      </c>
      <c r="H176" t="s">
        <v>1552</v>
      </c>
      <c r="I176" t="s">
        <v>1562</v>
      </c>
      <c r="J176">
        <f t="shared" si="4"/>
        <v>25.44</v>
      </c>
      <c r="K176" t="b">
        <f t="shared" si="5"/>
        <v>1</v>
      </c>
    </row>
    <row r="177" spans="2:11">
      <c r="B177">
        <v>173</v>
      </c>
      <c r="C177" t="s">
        <v>7</v>
      </c>
      <c r="D177">
        <v>422</v>
      </c>
      <c r="E177" t="str">
        <f>IF(VLOOKUP(D177,Couleurs!A:B,2) = 0, "[" &amp; D177 &amp; "]",VLOOKUP(D177,Couleurs!A:B,2))</f>
        <v>SANGRIA</v>
      </c>
      <c r="F177" s="1" t="s">
        <v>143</v>
      </c>
      <c r="G177">
        <v>4</v>
      </c>
      <c r="H177" t="s">
        <v>1563</v>
      </c>
      <c r="I177" t="s">
        <v>1586</v>
      </c>
      <c r="J177">
        <f t="shared" si="4"/>
        <v>47.52</v>
      </c>
      <c r="K177" t="b">
        <f t="shared" si="5"/>
        <v>1</v>
      </c>
    </row>
    <row r="178" spans="2:11">
      <c r="B178">
        <v>174</v>
      </c>
      <c r="C178" t="s">
        <v>54</v>
      </c>
      <c r="D178">
        <v>371</v>
      </c>
      <c r="E178" t="str">
        <f>IF(VLOOKUP(D178,Couleurs!A:B,2) = 0, "[" &amp; D178 &amp; "]",VLOOKUP(D178,Couleurs!A:B,2))</f>
        <v>MILK</v>
      </c>
      <c r="F178" s="1" t="s">
        <v>190</v>
      </c>
      <c r="G178">
        <v>6</v>
      </c>
      <c r="H178" t="s">
        <v>1633</v>
      </c>
      <c r="I178" t="s">
        <v>1597</v>
      </c>
      <c r="J178">
        <f t="shared" si="4"/>
        <v>21.6</v>
      </c>
      <c r="K178" t="b">
        <f t="shared" si="5"/>
        <v>1</v>
      </c>
    </row>
    <row r="179" spans="2:11">
      <c r="B179">
        <v>175</v>
      </c>
      <c r="C179" t="s">
        <v>57</v>
      </c>
      <c r="D179">
        <v>498</v>
      </c>
      <c r="E179" t="str">
        <f>IF(VLOOKUP(D179,Couleurs!A:B,2) = 0, "[" &amp; D179 &amp; "]",VLOOKUP(D179,Couleurs!A:B,2))</f>
        <v>[498]</v>
      </c>
      <c r="F179" s="1" t="s">
        <v>193</v>
      </c>
      <c r="G179">
        <v>3</v>
      </c>
      <c r="H179" t="s">
        <v>1636</v>
      </c>
      <c r="I179" t="s">
        <v>1637</v>
      </c>
      <c r="J179">
        <f t="shared" si="4"/>
        <v>56.88</v>
      </c>
      <c r="K179" t="b">
        <f t="shared" si="5"/>
        <v>1</v>
      </c>
    </row>
    <row r="180" spans="2:11">
      <c r="B180">
        <v>176</v>
      </c>
      <c r="C180" t="s">
        <v>57</v>
      </c>
      <c r="D180">
        <v>499</v>
      </c>
      <c r="E180" t="str">
        <f>IF(VLOOKUP(D180,Couleurs!A:B,2) = 0, "[" &amp; D180 &amp; "]",VLOOKUP(D180,Couleurs!A:B,2))</f>
        <v>[499]</v>
      </c>
      <c r="F180" s="1" t="s">
        <v>193</v>
      </c>
      <c r="G180">
        <v>3</v>
      </c>
      <c r="H180" t="s">
        <v>1636</v>
      </c>
      <c r="I180" t="s">
        <v>1637</v>
      </c>
      <c r="J180">
        <f t="shared" si="4"/>
        <v>56.88</v>
      </c>
      <c r="K180" t="b">
        <f t="shared" si="5"/>
        <v>1</v>
      </c>
    </row>
    <row r="181" spans="2:11">
      <c r="B181">
        <v>177</v>
      </c>
      <c r="C181" t="s">
        <v>1643</v>
      </c>
      <c r="D181">
        <v>227</v>
      </c>
      <c r="E181" t="str">
        <f>IF(VLOOKUP(D181,Couleurs!A:B,2) = 0, "[" &amp; D181 &amp; "]",VLOOKUP(D181,Couleurs!A:B,2))</f>
        <v>[227]</v>
      </c>
      <c r="F181" s="1" t="s">
        <v>2192</v>
      </c>
      <c r="G181">
        <v>4</v>
      </c>
      <c r="H181" t="s">
        <v>1558</v>
      </c>
      <c r="I181" t="s">
        <v>2193</v>
      </c>
      <c r="J181">
        <f t="shared" si="4"/>
        <v>72.48</v>
      </c>
      <c r="K181" t="b">
        <f t="shared" si="5"/>
        <v>1</v>
      </c>
    </row>
    <row r="182" spans="2:11">
      <c r="B182">
        <v>178</v>
      </c>
      <c r="C182" t="s">
        <v>1600</v>
      </c>
      <c r="D182">
        <v>347</v>
      </c>
      <c r="E182" t="str">
        <f>IF(VLOOKUP(D182,Couleurs!A:B,2) = 0, "[" &amp; D182 &amp; "]",VLOOKUP(D182,Couleurs!A:B,2))</f>
        <v>[347]</v>
      </c>
      <c r="F182" s="1" t="s">
        <v>2182</v>
      </c>
      <c r="G182">
        <v>3</v>
      </c>
      <c r="H182" t="s">
        <v>1601</v>
      </c>
      <c r="I182" t="s">
        <v>1602</v>
      </c>
      <c r="J182">
        <f t="shared" si="4"/>
        <v>19.799999999999997</v>
      </c>
      <c r="K182" t="b">
        <f t="shared" si="5"/>
        <v>1</v>
      </c>
    </row>
    <row r="183" spans="2:11">
      <c r="B183">
        <v>179</v>
      </c>
      <c r="C183" t="s">
        <v>2</v>
      </c>
      <c r="D183">
        <v>479</v>
      </c>
      <c r="E183" t="str">
        <f>IF(VLOOKUP(D183,Couleurs!A:B,2) = 0, "[" &amp; D183 &amp; "]",VLOOKUP(D183,Couleurs!A:B,2))</f>
        <v>[479]</v>
      </c>
      <c r="F183" s="1" t="s">
        <v>138</v>
      </c>
      <c r="G183">
        <v>3</v>
      </c>
      <c r="H183" t="s">
        <v>1554</v>
      </c>
      <c r="I183" t="s">
        <v>1555</v>
      </c>
      <c r="J183">
        <f t="shared" si="4"/>
        <v>14.399999999999999</v>
      </c>
      <c r="K183" t="b">
        <f t="shared" si="5"/>
        <v>1</v>
      </c>
    </row>
    <row r="184" spans="2:11">
      <c r="B184">
        <v>180</v>
      </c>
      <c r="C184" t="s">
        <v>9</v>
      </c>
      <c r="D184">
        <v>17</v>
      </c>
      <c r="E184" t="str">
        <f>IF(VLOOKUP(D184,Couleurs!A:B,2) = 0, "[" &amp; D184 &amp; "]",VLOOKUP(D184,Couleurs!A:B,2))</f>
        <v>NAVY BLUE</v>
      </c>
      <c r="F184" s="1" t="s">
        <v>145</v>
      </c>
      <c r="G184">
        <v>3</v>
      </c>
      <c r="H184" t="s">
        <v>1555</v>
      </c>
      <c r="I184" t="s">
        <v>1565</v>
      </c>
      <c r="J184">
        <f t="shared" si="4"/>
        <v>43.2</v>
      </c>
      <c r="K184" t="b">
        <f t="shared" si="5"/>
        <v>1</v>
      </c>
    </row>
    <row r="185" spans="2:11">
      <c r="B185">
        <v>181</v>
      </c>
      <c r="C185" t="s">
        <v>1644</v>
      </c>
      <c r="D185">
        <v>474</v>
      </c>
      <c r="E185" t="str">
        <f>IF(VLOOKUP(D185,Couleurs!A:B,2) = 0, "[" &amp; D185 &amp; "]",VLOOKUP(D185,Couleurs!A:B,2))</f>
        <v>[474]</v>
      </c>
      <c r="F185" s="1" t="s">
        <v>2194</v>
      </c>
      <c r="G185">
        <v>4</v>
      </c>
      <c r="H185" t="s">
        <v>1584</v>
      </c>
      <c r="I185" t="s">
        <v>2179</v>
      </c>
      <c r="J185">
        <f t="shared" si="4"/>
        <v>28.32</v>
      </c>
      <c r="K185" t="b">
        <f t="shared" si="5"/>
        <v>1</v>
      </c>
    </row>
    <row r="186" spans="2:11">
      <c r="B186">
        <v>182</v>
      </c>
      <c r="C186" t="s">
        <v>45</v>
      </c>
      <c r="D186">
        <v>36</v>
      </c>
      <c r="E186" t="str">
        <f>IF(VLOOKUP(D186,Couleurs!A:B,2) = 0, "[" &amp; D186 &amp; "]",VLOOKUP(D186,Couleurs!A:B,2))</f>
        <v>[36]</v>
      </c>
      <c r="F186" s="1" t="s">
        <v>181</v>
      </c>
      <c r="G186">
        <v>3</v>
      </c>
      <c r="H186" t="s">
        <v>1550</v>
      </c>
      <c r="I186" t="s">
        <v>1551</v>
      </c>
      <c r="J186">
        <f t="shared" si="4"/>
        <v>23.4</v>
      </c>
      <c r="K186" t="b">
        <f t="shared" si="5"/>
        <v>1</v>
      </c>
    </row>
    <row r="187" spans="2:11">
      <c r="B187">
        <v>183</v>
      </c>
      <c r="C187" t="s">
        <v>72</v>
      </c>
      <c r="D187">
        <v>347</v>
      </c>
      <c r="E187" t="str">
        <f>IF(VLOOKUP(D187,Couleurs!A:B,2) = 0, "[" &amp; D187 &amp; "]",VLOOKUP(D187,Couleurs!A:B,2))</f>
        <v>[347]</v>
      </c>
      <c r="F187" s="1" t="s">
        <v>208</v>
      </c>
      <c r="G187">
        <v>3</v>
      </c>
      <c r="H187">
        <v>9</v>
      </c>
      <c r="I187">
        <v>27</v>
      </c>
      <c r="J187">
        <f t="shared" si="4"/>
        <v>27</v>
      </c>
      <c r="K187" t="b">
        <f t="shared" si="5"/>
        <v>1</v>
      </c>
    </row>
    <row r="188" spans="2:11">
      <c r="B188">
        <v>184</v>
      </c>
      <c r="C188" t="s">
        <v>72</v>
      </c>
      <c r="D188">
        <v>484</v>
      </c>
      <c r="E188" t="str">
        <f>IF(VLOOKUP(D188,Couleurs!A:B,2) = 0, "[" &amp; D188 &amp; "]",VLOOKUP(D188,Couleurs!A:B,2))</f>
        <v>[484]</v>
      </c>
      <c r="F188" s="1" t="s">
        <v>208</v>
      </c>
      <c r="G188">
        <v>3</v>
      </c>
      <c r="H188">
        <v>9</v>
      </c>
      <c r="I188">
        <v>27</v>
      </c>
      <c r="J188">
        <f t="shared" si="4"/>
        <v>27</v>
      </c>
      <c r="K188" t="b">
        <f t="shared" si="5"/>
        <v>1</v>
      </c>
    </row>
    <row r="189" spans="2:11">
      <c r="B189">
        <v>185</v>
      </c>
      <c r="C189" t="s">
        <v>73</v>
      </c>
      <c r="D189">
        <v>479</v>
      </c>
      <c r="E189" t="str">
        <f>IF(VLOOKUP(D189,Couleurs!A:B,2) = 0, "[" &amp; D189 &amp; "]",VLOOKUP(D189,Couleurs!A:B,2))</f>
        <v>[479]</v>
      </c>
      <c r="F189" s="1" t="s">
        <v>209</v>
      </c>
      <c r="G189">
        <v>3</v>
      </c>
      <c r="H189" t="s">
        <v>1645</v>
      </c>
      <c r="I189" t="s">
        <v>1646</v>
      </c>
      <c r="J189">
        <f t="shared" si="4"/>
        <v>65.88</v>
      </c>
      <c r="K189" t="b">
        <f t="shared" si="5"/>
        <v>1</v>
      </c>
    </row>
    <row r="190" spans="2:11">
      <c r="B190">
        <v>186</v>
      </c>
      <c r="C190" t="s">
        <v>33</v>
      </c>
      <c r="D190">
        <v>75</v>
      </c>
      <c r="E190" t="str">
        <f>IF(VLOOKUP(D190,Couleurs!A:B,2) = 0, "[" &amp; D190 &amp; "]",VLOOKUP(D190,Couleurs!A:B,2))</f>
        <v>[75]</v>
      </c>
      <c r="F190" s="1" t="s">
        <v>169</v>
      </c>
      <c r="G190">
        <v>6</v>
      </c>
      <c r="H190">
        <v>3</v>
      </c>
      <c r="I190">
        <v>18</v>
      </c>
      <c r="J190">
        <f t="shared" si="4"/>
        <v>18</v>
      </c>
      <c r="K190" t="b">
        <f t="shared" si="5"/>
        <v>1</v>
      </c>
    </row>
    <row r="191" spans="2:11">
      <c r="B191">
        <v>187</v>
      </c>
      <c r="C191" t="s">
        <v>1647</v>
      </c>
      <c r="D191">
        <v>125</v>
      </c>
      <c r="E191" t="str">
        <f>IF(VLOOKUP(D191,Couleurs!A:B,2) = 0, "[" &amp; D191 &amp; "]",VLOOKUP(D191,Couleurs!A:B,2))</f>
        <v>[125]</v>
      </c>
      <c r="F191" s="1" t="s">
        <v>2195</v>
      </c>
      <c r="G191">
        <v>4</v>
      </c>
      <c r="H191" t="s">
        <v>1558</v>
      </c>
      <c r="I191" t="s">
        <v>2193</v>
      </c>
      <c r="J191">
        <f t="shared" si="4"/>
        <v>72.48</v>
      </c>
      <c r="K191" t="b">
        <f t="shared" si="5"/>
        <v>1</v>
      </c>
    </row>
    <row r="192" spans="2:11">
      <c r="B192">
        <v>188</v>
      </c>
      <c r="C192" t="s">
        <v>20</v>
      </c>
      <c r="D192">
        <v>54</v>
      </c>
      <c r="E192" t="str">
        <f>IF(VLOOKUP(D192,Couleurs!A:B,2) = 0, "[" &amp; D192 &amp; "]",VLOOKUP(D192,Couleurs!A:B,2))</f>
        <v>[54]</v>
      </c>
      <c r="F192" s="1" t="s">
        <v>153</v>
      </c>
      <c r="G192">
        <v>8</v>
      </c>
      <c r="H192" t="s">
        <v>1573</v>
      </c>
      <c r="I192" t="s">
        <v>1648</v>
      </c>
      <c r="J192">
        <f t="shared" si="4"/>
        <v>76.8</v>
      </c>
      <c r="K192" t="b">
        <f t="shared" si="5"/>
        <v>1</v>
      </c>
    </row>
    <row r="193" spans="2:11">
      <c r="B193">
        <v>189</v>
      </c>
      <c r="C193" t="s">
        <v>34</v>
      </c>
      <c r="D193">
        <v>55</v>
      </c>
      <c r="E193" t="str">
        <f>IF(VLOOKUP(D193,Couleurs!A:B,2) = 0, "[" &amp; D193 &amp; "]",VLOOKUP(D193,Couleurs!A:B,2))</f>
        <v>BLACK</v>
      </c>
      <c r="F193" s="1" t="s">
        <v>170</v>
      </c>
      <c r="G193">
        <v>2</v>
      </c>
      <c r="H193" t="s">
        <v>1607</v>
      </c>
      <c r="I193" t="s">
        <v>1608</v>
      </c>
      <c r="J193">
        <f t="shared" si="4"/>
        <v>22.08</v>
      </c>
      <c r="K193" t="b">
        <f t="shared" si="5"/>
        <v>1</v>
      </c>
    </row>
    <row r="194" spans="2:11">
      <c r="B194">
        <v>190</v>
      </c>
      <c r="C194" t="s">
        <v>26</v>
      </c>
      <c r="D194">
        <v>158</v>
      </c>
      <c r="E194" t="str">
        <f>IF(VLOOKUP(D194,Couleurs!A:B,2) = 0, "[" &amp; D194 &amp; "]",VLOOKUP(D194,Couleurs!A:B,2))</f>
        <v>VOLCANO</v>
      </c>
      <c r="F194" s="1" t="s">
        <v>159</v>
      </c>
      <c r="G194">
        <v>1</v>
      </c>
      <c r="H194" t="s">
        <v>1555</v>
      </c>
      <c r="I194" t="s">
        <v>1555</v>
      </c>
      <c r="J194">
        <f t="shared" si="4"/>
        <v>14.4</v>
      </c>
      <c r="K194" t="b">
        <f t="shared" si="5"/>
        <v>1</v>
      </c>
    </row>
    <row r="195" spans="2:11">
      <c r="B195">
        <v>191</v>
      </c>
      <c r="C195" t="s">
        <v>24</v>
      </c>
      <c r="D195">
        <v>158</v>
      </c>
      <c r="E195" t="str">
        <f>IF(VLOOKUP(D195,Couleurs!A:B,2) = 0, "[" &amp; D195 &amp; "]",VLOOKUP(D195,Couleurs!A:B,2))</f>
        <v>VOLCANO</v>
      </c>
      <c r="F195" s="1" t="s">
        <v>157</v>
      </c>
      <c r="G195">
        <v>1</v>
      </c>
      <c r="H195" t="s">
        <v>1554</v>
      </c>
      <c r="I195" t="s">
        <v>1554</v>
      </c>
      <c r="J195">
        <f t="shared" si="4"/>
        <v>4.8</v>
      </c>
      <c r="K195" t="b">
        <f t="shared" si="5"/>
        <v>1</v>
      </c>
    </row>
    <row r="196" spans="2:11">
      <c r="B196">
        <v>192</v>
      </c>
      <c r="C196" t="s">
        <v>1649</v>
      </c>
      <c r="D196">
        <v>55</v>
      </c>
      <c r="E196" t="str">
        <f>IF(VLOOKUP(D196,Couleurs!A:B,2) = 0, "[" &amp; D196 &amp; "]",VLOOKUP(D196,Couleurs!A:B,2))</f>
        <v>BLACK</v>
      </c>
      <c r="F196" s="1" t="s">
        <v>2196</v>
      </c>
      <c r="G196">
        <v>18</v>
      </c>
      <c r="H196" t="s">
        <v>1576</v>
      </c>
      <c r="I196" t="s">
        <v>2197</v>
      </c>
      <c r="J196">
        <f t="shared" si="4"/>
        <v>226.79999999999998</v>
      </c>
      <c r="K196" t="b">
        <f t="shared" si="5"/>
        <v>1</v>
      </c>
    </row>
    <row r="197" spans="2:11">
      <c r="B197">
        <v>193</v>
      </c>
      <c r="C197" t="s">
        <v>22</v>
      </c>
      <c r="D197">
        <v>133</v>
      </c>
      <c r="E197" t="str">
        <f>IF(VLOOKUP(D197,Couleurs!A:B,2) = 0, "[" &amp; D197 &amp; "]",VLOOKUP(D197,Couleurs!A:B,2))</f>
        <v>LIGHT GREY</v>
      </c>
      <c r="F197" s="1" t="s">
        <v>155</v>
      </c>
      <c r="G197">
        <v>1</v>
      </c>
      <c r="H197" t="s">
        <v>1555</v>
      </c>
      <c r="I197" t="s">
        <v>1555</v>
      </c>
      <c r="J197">
        <f t="shared" ref="J197:J260" si="6">G197*H197</f>
        <v>14.4</v>
      </c>
      <c r="K197" t="b">
        <f t="shared" ref="K197:K260" si="7">(0+I197)=J197</f>
        <v>1</v>
      </c>
    </row>
    <row r="198" spans="2:11">
      <c r="B198">
        <v>194</v>
      </c>
      <c r="C198" t="s">
        <v>34</v>
      </c>
      <c r="D198">
        <v>71</v>
      </c>
      <c r="E198" t="str">
        <f>IF(VLOOKUP(D198,Couleurs!A:B,2) = 0, "[" &amp; D198 &amp; "]",VLOOKUP(D198,Couleurs!A:B,2))</f>
        <v>ROCK</v>
      </c>
      <c r="F198" s="1" t="s">
        <v>170</v>
      </c>
      <c r="G198">
        <v>2</v>
      </c>
      <c r="H198" t="s">
        <v>1607</v>
      </c>
      <c r="I198" t="s">
        <v>1608</v>
      </c>
      <c r="J198">
        <f t="shared" si="6"/>
        <v>22.08</v>
      </c>
      <c r="K198" t="b">
        <f t="shared" si="7"/>
        <v>1</v>
      </c>
    </row>
    <row r="199" spans="2:11">
      <c r="B199">
        <v>195</v>
      </c>
      <c r="C199" t="s">
        <v>23</v>
      </c>
      <c r="D199">
        <v>71</v>
      </c>
      <c r="E199" t="str">
        <f>IF(VLOOKUP(D199,Couleurs!A:B,2) = 0, "[" &amp; D199 &amp; "]",VLOOKUP(D199,Couleurs!A:B,2))</f>
        <v>ROCK</v>
      </c>
      <c r="F199" s="1" t="s">
        <v>156</v>
      </c>
      <c r="G199">
        <v>1</v>
      </c>
      <c r="H199" t="s">
        <v>1575</v>
      </c>
      <c r="I199" t="s">
        <v>1575</v>
      </c>
      <c r="J199">
        <f t="shared" si="6"/>
        <v>13.08</v>
      </c>
      <c r="K199" t="b">
        <f t="shared" si="7"/>
        <v>1</v>
      </c>
    </row>
    <row r="200" spans="2:11">
      <c r="B200">
        <v>196</v>
      </c>
      <c r="C200" t="s">
        <v>74</v>
      </c>
      <c r="D200">
        <v>55</v>
      </c>
      <c r="E200" t="str">
        <f>IF(VLOOKUP(D200,Couleurs!A:B,2) = 0, "[" &amp; D200 &amp; "]",VLOOKUP(D200,Couleurs!A:B,2))</f>
        <v>BLACK</v>
      </c>
      <c r="F200" s="1" t="s">
        <v>190</v>
      </c>
      <c r="G200">
        <v>10</v>
      </c>
      <c r="H200" t="s">
        <v>1633</v>
      </c>
      <c r="I200">
        <v>36</v>
      </c>
      <c r="J200">
        <f t="shared" si="6"/>
        <v>36</v>
      </c>
      <c r="K200" t="b">
        <f t="shared" si="7"/>
        <v>1</v>
      </c>
    </row>
    <row r="201" spans="2:11">
      <c r="B201">
        <v>197</v>
      </c>
      <c r="C201" t="s">
        <v>52</v>
      </c>
      <c r="D201">
        <v>55</v>
      </c>
      <c r="E201" t="str">
        <f>IF(VLOOKUP(D201,Couleurs!A:B,2) = 0, "[" &amp; D201 &amp; "]",VLOOKUP(D201,Couleurs!A:B,2))</f>
        <v>BLACK</v>
      </c>
      <c r="F201" s="1" t="s">
        <v>188</v>
      </c>
      <c r="G201">
        <v>2</v>
      </c>
      <c r="H201" t="s">
        <v>1631</v>
      </c>
      <c r="I201" t="s">
        <v>1632</v>
      </c>
      <c r="J201">
        <f t="shared" si="6"/>
        <v>22.8</v>
      </c>
      <c r="K201" t="b">
        <f t="shared" si="7"/>
        <v>1</v>
      </c>
    </row>
    <row r="202" spans="2:11">
      <c r="B202">
        <v>198</v>
      </c>
      <c r="C202" t="s">
        <v>75</v>
      </c>
      <c r="D202">
        <v>76</v>
      </c>
      <c r="E202" t="str">
        <f>IF(VLOOKUP(D202,Couleurs!A:B,2) = 0, "[" &amp; D202 &amp; "]",VLOOKUP(D202,Couleurs!A:B,2))</f>
        <v>[76]</v>
      </c>
      <c r="F202" s="1" t="s">
        <v>210</v>
      </c>
      <c r="G202">
        <v>2</v>
      </c>
      <c r="H202" t="s">
        <v>1564</v>
      </c>
      <c r="I202" t="s">
        <v>1569</v>
      </c>
      <c r="J202">
        <f t="shared" si="6"/>
        <v>31.2</v>
      </c>
      <c r="K202" t="b">
        <f t="shared" si="7"/>
        <v>1</v>
      </c>
    </row>
    <row r="203" spans="2:11">
      <c r="B203">
        <v>199</v>
      </c>
      <c r="C203" t="s">
        <v>22</v>
      </c>
      <c r="D203">
        <v>26</v>
      </c>
      <c r="E203" t="str">
        <f>IF(VLOOKUP(D203,Couleurs!A:B,2) = 0, "[" &amp; D203 &amp; "]",VLOOKUP(D203,Couleurs!A:B,2))</f>
        <v>[26]</v>
      </c>
      <c r="F203" s="1" t="s">
        <v>155</v>
      </c>
      <c r="G203">
        <v>2</v>
      </c>
      <c r="H203" t="s">
        <v>1555</v>
      </c>
      <c r="I203" t="s">
        <v>1574</v>
      </c>
      <c r="J203">
        <f t="shared" si="6"/>
        <v>28.8</v>
      </c>
      <c r="K203" t="b">
        <f t="shared" si="7"/>
        <v>1</v>
      </c>
    </row>
    <row r="204" spans="2:11">
      <c r="B204">
        <v>200</v>
      </c>
      <c r="C204" t="s">
        <v>25</v>
      </c>
      <c r="D204">
        <v>347</v>
      </c>
      <c r="E204" t="str">
        <f>IF(VLOOKUP(D204,Couleurs!A:B,2) = 0, "[" &amp; D204 &amp; "]",VLOOKUP(D204,Couleurs!A:B,2))</f>
        <v>[347]</v>
      </c>
      <c r="F204" s="1" t="s">
        <v>158</v>
      </c>
      <c r="G204">
        <v>2</v>
      </c>
      <c r="H204" t="s">
        <v>1576</v>
      </c>
      <c r="I204" t="s">
        <v>1571</v>
      </c>
      <c r="J204">
        <f t="shared" si="6"/>
        <v>25.2</v>
      </c>
      <c r="K204" t="b">
        <f t="shared" si="7"/>
        <v>1</v>
      </c>
    </row>
    <row r="205" spans="2:11">
      <c r="B205">
        <v>201</v>
      </c>
      <c r="C205" t="s">
        <v>25</v>
      </c>
      <c r="D205">
        <v>75</v>
      </c>
      <c r="E205" t="str">
        <f>IF(VLOOKUP(D205,Couleurs!A:B,2) = 0, "[" &amp; D205 &amp; "]",VLOOKUP(D205,Couleurs!A:B,2))</f>
        <v>[75]</v>
      </c>
      <c r="F205" s="1" t="s">
        <v>158</v>
      </c>
      <c r="G205">
        <v>2</v>
      </c>
      <c r="H205" t="s">
        <v>1576</v>
      </c>
      <c r="I205" t="s">
        <v>1571</v>
      </c>
      <c r="J205">
        <f t="shared" si="6"/>
        <v>25.2</v>
      </c>
      <c r="K205" t="b">
        <f t="shared" si="7"/>
        <v>1</v>
      </c>
    </row>
    <row r="206" spans="2:11">
      <c r="B206">
        <v>202</v>
      </c>
      <c r="C206" t="s">
        <v>22</v>
      </c>
      <c r="D206">
        <v>479</v>
      </c>
      <c r="E206" t="str">
        <f>IF(VLOOKUP(D206,Couleurs!A:B,2) = 0, "[" &amp; D206 &amp; "]",VLOOKUP(D206,Couleurs!A:B,2))</f>
        <v>[479]</v>
      </c>
      <c r="F206" s="1" t="s">
        <v>155</v>
      </c>
      <c r="G206">
        <v>2</v>
      </c>
      <c r="H206" t="s">
        <v>1555</v>
      </c>
      <c r="I206" t="s">
        <v>1574</v>
      </c>
      <c r="J206">
        <f t="shared" si="6"/>
        <v>28.8</v>
      </c>
      <c r="K206" t="b">
        <f t="shared" si="7"/>
        <v>1</v>
      </c>
    </row>
    <row r="207" spans="2:11">
      <c r="B207">
        <v>203</v>
      </c>
      <c r="C207" t="s">
        <v>1650</v>
      </c>
      <c r="D207">
        <v>473</v>
      </c>
      <c r="E207" t="str">
        <f>IF(VLOOKUP(D207,Couleurs!A:B,2) = 0, "[" &amp; D207 &amp; "]",VLOOKUP(D207,Couleurs!A:B,2))</f>
        <v>[473]</v>
      </c>
      <c r="F207" s="1" t="s">
        <v>2198</v>
      </c>
      <c r="G207">
        <v>2</v>
      </c>
      <c r="H207" t="s">
        <v>1564</v>
      </c>
      <c r="I207" t="s">
        <v>1569</v>
      </c>
      <c r="J207">
        <f t="shared" si="6"/>
        <v>31.2</v>
      </c>
      <c r="K207" t="b">
        <f t="shared" si="7"/>
        <v>1</v>
      </c>
    </row>
    <row r="208" spans="2:11">
      <c r="B208">
        <v>204</v>
      </c>
      <c r="C208" t="s">
        <v>1651</v>
      </c>
      <c r="D208">
        <v>55</v>
      </c>
      <c r="E208" t="str">
        <f>IF(VLOOKUP(D208,Couleurs!A:B,2) = 0, "[" &amp; D208 &amp; "]",VLOOKUP(D208,Couleurs!A:B,2))</f>
        <v>BLACK</v>
      </c>
      <c r="F208" s="1" t="s">
        <v>2199</v>
      </c>
      <c r="G208">
        <v>5</v>
      </c>
      <c r="H208" t="s">
        <v>1555</v>
      </c>
      <c r="I208">
        <v>72</v>
      </c>
      <c r="J208">
        <f t="shared" si="6"/>
        <v>72</v>
      </c>
      <c r="K208" t="b">
        <f t="shared" si="7"/>
        <v>1</v>
      </c>
    </row>
    <row r="209" spans="2:11">
      <c r="B209">
        <v>205</v>
      </c>
      <c r="C209" t="s">
        <v>1652</v>
      </c>
      <c r="D209">
        <v>475</v>
      </c>
      <c r="E209" t="str">
        <f>IF(VLOOKUP(D209,Couleurs!A:B,2) = 0, "[" &amp; D209 &amp; "]",VLOOKUP(D209,Couleurs!A:B,2))</f>
        <v>[475]</v>
      </c>
      <c r="F209" s="1" t="s">
        <v>2200</v>
      </c>
      <c r="G209">
        <v>2</v>
      </c>
      <c r="H209" t="s">
        <v>1555</v>
      </c>
      <c r="I209" t="s">
        <v>1574</v>
      </c>
      <c r="J209">
        <f t="shared" si="6"/>
        <v>28.8</v>
      </c>
      <c r="K209" t="b">
        <f t="shared" si="7"/>
        <v>1</v>
      </c>
    </row>
    <row r="210" spans="2:11">
      <c r="B210">
        <v>206</v>
      </c>
      <c r="C210" t="s">
        <v>29</v>
      </c>
      <c r="D210">
        <v>479</v>
      </c>
      <c r="E210" t="str">
        <f>IF(VLOOKUP(D210,Couleurs!A:B,2) = 0, "[" &amp; D210 &amp; "]",VLOOKUP(D210,Couleurs!A:B,2))</f>
        <v>[479]</v>
      </c>
      <c r="F210" s="1" t="s">
        <v>162</v>
      </c>
      <c r="G210">
        <v>2</v>
      </c>
      <c r="H210" t="s">
        <v>1584</v>
      </c>
      <c r="I210" t="s">
        <v>1589</v>
      </c>
      <c r="J210">
        <f t="shared" si="6"/>
        <v>14.16</v>
      </c>
      <c r="K210" t="b">
        <f t="shared" si="7"/>
        <v>1</v>
      </c>
    </row>
    <row r="211" spans="2:11">
      <c r="B211">
        <v>207</v>
      </c>
      <c r="C211" t="s">
        <v>76</v>
      </c>
      <c r="D211">
        <v>76</v>
      </c>
      <c r="E211" t="str">
        <f>IF(VLOOKUP(D211,Couleurs!A:B,2) = 0, "[" &amp; D211 &amp; "]",VLOOKUP(D211,Couleurs!A:B,2))</f>
        <v>[76]</v>
      </c>
      <c r="F211" s="1" t="s">
        <v>211</v>
      </c>
      <c r="G211">
        <v>2</v>
      </c>
      <c r="H211" t="s">
        <v>1563</v>
      </c>
      <c r="I211" t="s">
        <v>1609</v>
      </c>
      <c r="J211">
        <f t="shared" si="6"/>
        <v>23.76</v>
      </c>
      <c r="K211" t="b">
        <f t="shared" si="7"/>
        <v>1</v>
      </c>
    </row>
    <row r="212" spans="2:11">
      <c r="B212">
        <v>208</v>
      </c>
      <c r="C212" t="s">
        <v>29</v>
      </c>
      <c r="D212">
        <v>422</v>
      </c>
      <c r="E212" t="str">
        <f>IF(VLOOKUP(D212,Couleurs!A:B,2) = 0, "[" &amp; D212 &amp; "]",VLOOKUP(D212,Couleurs!A:B,2))</f>
        <v>SANGRIA</v>
      </c>
      <c r="F212" s="1" t="s">
        <v>162</v>
      </c>
      <c r="G212">
        <v>2</v>
      </c>
      <c r="H212" t="s">
        <v>1584</v>
      </c>
      <c r="I212" t="s">
        <v>1589</v>
      </c>
      <c r="J212">
        <f t="shared" si="6"/>
        <v>14.16</v>
      </c>
      <c r="K212" t="b">
        <f t="shared" si="7"/>
        <v>1</v>
      </c>
    </row>
    <row r="213" spans="2:11">
      <c r="B213">
        <v>209</v>
      </c>
      <c r="C213" t="s">
        <v>77</v>
      </c>
      <c r="D213">
        <v>227</v>
      </c>
      <c r="E213" t="str">
        <f>IF(VLOOKUP(D213,Couleurs!A:B,2) = 0, "[" &amp; D213 &amp; "]",VLOOKUP(D213,Couleurs!A:B,2))</f>
        <v>[227]</v>
      </c>
      <c r="F213" s="1" t="s">
        <v>212</v>
      </c>
      <c r="G213">
        <v>2</v>
      </c>
      <c r="H213" t="s">
        <v>1556</v>
      </c>
      <c r="I213" t="s">
        <v>1557</v>
      </c>
      <c r="J213">
        <f t="shared" si="6"/>
        <v>26.88</v>
      </c>
      <c r="K213" t="b">
        <f t="shared" si="7"/>
        <v>1</v>
      </c>
    </row>
    <row r="214" spans="2:11">
      <c r="B214">
        <v>210</v>
      </c>
      <c r="C214" t="s">
        <v>51</v>
      </c>
      <c r="D214">
        <v>76</v>
      </c>
      <c r="E214" t="str">
        <f>IF(VLOOKUP(D214,Couleurs!A:B,2) = 0, "[" &amp; D214 &amp; "]",VLOOKUP(D214,Couleurs!A:B,2))</f>
        <v>[76]</v>
      </c>
      <c r="F214" s="1" t="s">
        <v>187</v>
      </c>
      <c r="G214">
        <v>8</v>
      </c>
      <c r="H214" t="s">
        <v>1598</v>
      </c>
      <c r="I214" t="s">
        <v>1630</v>
      </c>
      <c r="J214">
        <f t="shared" si="6"/>
        <v>36.479999999999997</v>
      </c>
      <c r="K214" t="b">
        <f t="shared" si="7"/>
        <v>1</v>
      </c>
    </row>
    <row r="215" spans="2:11">
      <c r="B215">
        <v>211</v>
      </c>
      <c r="C215" t="s">
        <v>78</v>
      </c>
      <c r="D215">
        <v>125</v>
      </c>
      <c r="E215" t="str">
        <f>IF(VLOOKUP(D215,Couleurs!A:B,2) = 0, "[" &amp; D215 &amp; "]",VLOOKUP(D215,Couleurs!A:B,2))</f>
        <v>[125]</v>
      </c>
      <c r="F215" s="1" t="s">
        <v>213</v>
      </c>
      <c r="G215">
        <v>2</v>
      </c>
      <c r="H215" t="s">
        <v>1573</v>
      </c>
      <c r="I215" t="s">
        <v>1653</v>
      </c>
      <c r="J215">
        <f t="shared" si="6"/>
        <v>19.2</v>
      </c>
      <c r="K215" t="b">
        <f t="shared" si="7"/>
        <v>1</v>
      </c>
    </row>
    <row r="216" spans="2:11">
      <c r="B216">
        <v>212</v>
      </c>
      <c r="C216" t="s">
        <v>2</v>
      </c>
      <c r="D216">
        <v>75</v>
      </c>
      <c r="E216" t="str">
        <f>IF(VLOOKUP(D216,Couleurs!A:B,2) = 0, "[" &amp; D216 &amp; "]",VLOOKUP(D216,Couleurs!A:B,2))</f>
        <v>[75]</v>
      </c>
      <c r="F216" s="1" t="s">
        <v>138</v>
      </c>
      <c r="G216">
        <v>3</v>
      </c>
      <c r="H216" t="s">
        <v>1554</v>
      </c>
      <c r="I216" t="s">
        <v>1555</v>
      </c>
      <c r="J216">
        <f t="shared" si="6"/>
        <v>14.399999999999999</v>
      </c>
      <c r="K216" t="b">
        <f t="shared" si="7"/>
        <v>1</v>
      </c>
    </row>
    <row r="217" spans="2:11">
      <c r="B217">
        <v>213</v>
      </c>
      <c r="C217" t="s">
        <v>34</v>
      </c>
      <c r="D217">
        <v>479</v>
      </c>
      <c r="E217" t="str">
        <f>IF(VLOOKUP(D217,Couleurs!A:B,2) = 0, "[" &amp; D217 &amp; "]",VLOOKUP(D217,Couleurs!A:B,2))</f>
        <v>[479]</v>
      </c>
      <c r="F217" s="1" t="s">
        <v>170</v>
      </c>
      <c r="G217">
        <v>2</v>
      </c>
      <c r="H217" t="s">
        <v>1607</v>
      </c>
      <c r="I217" t="s">
        <v>1608</v>
      </c>
      <c r="J217">
        <f t="shared" si="6"/>
        <v>22.08</v>
      </c>
      <c r="K217" t="b">
        <f t="shared" si="7"/>
        <v>1</v>
      </c>
    </row>
    <row r="218" spans="2:11">
      <c r="B218">
        <v>214</v>
      </c>
      <c r="C218" t="s">
        <v>79</v>
      </c>
      <c r="D218">
        <v>36</v>
      </c>
      <c r="E218" t="str">
        <f>IF(VLOOKUP(D218,Couleurs!A:B,2) = 0, "[" &amp; D218 &amp; "]",VLOOKUP(D218,Couleurs!A:B,2))</f>
        <v>[36]</v>
      </c>
      <c r="F218" s="1" t="s">
        <v>214</v>
      </c>
      <c r="G218">
        <v>3</v>
      </c>
      <c r="H218" t="s">
        <v>1654</v>
      </c>
      <c r="I218" t="s">
        <v>2201</v>
      </c>
      <c r="J218">
        <f t="shared" si="6"/>
        <v>39.96</v>
      </c>
      <c r="K218" t="b">
        <f t="shared" si="7"/>
        <v>1</v>
      </c>
    </row>
    <row r="219" spans="2:11">
      <c r="B219">
        <v>215</v>
      </c>
      <c r="C219" t="s">
        <v>1655</v>
      </c>
      <c r="D219">
        <v>55</v>
      </c>
      <c r="E219" t="str">
        <f>IF(VLOOKUP(D219,Couleurs!A:B,2) = 0, "[" &amp; D219 &amp; "]",VLOOKUP(D219,Couleurs!A:B,2))</f>
        <v>BLACK</v>
      </c>
      <c r="F219" s="1" t="s">
        <v>2202</v>
      </c>
      <c r="G219">
        <v>2</v>
      </c>
      <c r="H219" t="s">
        <v>1596</v>
      </c>
      <c r="I219" t="s">
        <v>1597</v>
      </c>
      <c r="J219">
        <f t="shared" si="6"/>
        <v>21.6</v>
      </c>
      <c r="K219" t="b">
        <f t="shared" si="7"/>
        <v>1</v>
      </c>
    </row>
    <row r="220" spans="2:11">
      <c r="B220">
        <v>216</v>
      </c>
      <c r="C220" t="s">
        <v>1655</v>
      </c>
      <c r="D220">
        <v>36</v>
      </c>
      <c r="E220" t="str">
        <f>IF(VLOOKUP(D220,Couleurs!A:B,2) = 0, "[" &amp; D220 &amp; "]",VLOOKUP(D220,Couleurs!A:B,2))</f>
        <v>[36]</v>
      </c>
      <c r="F220" s="1" t="s">
        <v>2202</v>
      </c>
      <c r="G220">
        <v>2</v>
      </c>
      <c r="H220" t="s">
        <v>1596</v>
      </c>
      <c r="I220" t="s">
        <v>1597</v>
      </c>
      <c r="J220">
        <f t="shared" si="6"/>
        <v>21.6</v>
      </c>
      <c r="K220" t="b">
        <f t="shared" si="7"/>
        <v>1</v>
      </c>
    </row>
    <row r="221" spans="2:11">
      <c r="B221">
        <v>217</v>
      </c>
      <c r="C221" t="s">
        <v>0</v>
      </c>
      <c r="D221">
        <v>130</v>
      </c>
      <c r="E221" t="str">
        <f>IF(VLOOKUP(D221,Couleurs!A:B,2) = 0, "[" &amp; D221 &amp; "]",VLOOKUP(D221,Couleurs!A:B,2))</f>
        <v>[130]</v>
      </c>
      <c r="F221" s="1" t="s">
        <v>136</v>
      </c>
      <c r="G221">
        <v>3</v>
      </c>
      <c r="H221" t="s">
        <v>1550</v>
      </c>
      <c r="I221" t="s">
        <v>1551</v>
      </c>
      <c r="J221">
        <f t="shared" si="6"/>
        <v>23.4</v>
      </c>
      <c r="K221" t="b">
        <f t="shared" si="7"/>
        <v>1</v>
      </c>
    </row>
    <row r="222" spans="2:11">
      <c r="B222">
        <v>218</v>
      </c>
      <c r="C222" t="s">
        <v>49</v>
      </c>
      <c r="D222">
        <v>75</v>
      </c>
      <c r="E222" t="str">
        <f>IF(VLOOKUP(D222,Couleurs!A:B,2) = 0, "[" &amp; D222 &amp; "]",VLOOKUP(D222,Couleurs!A:B,2))</f>
        <v>[75]</v>
      </c>
      <c r="F222" s="1" t="s">
        <v>185</v>
      </c>
      <c r="G222">
        <v>3</v>
      </c>
      <c r="H222" t="s">
        <v>1584</v>
      </c>
      <c r="I222" t="s">
        <v>1585</v>
      </c>
      <c r="J222">
        <f t="shared" si="6"/>
        <v>21.240000000000002</v>
      </c>
      <c r="K222" t="b">
        <f t="shared" si="7"/>
        <v>1</v>
      </c>
    </row>
    <row r="223" spans="2:11">
      <c r="B223">
        <v>219</v>
      </c>
      <c r="C223" t="s">
        <v>63</v>
      </c>
      <c r="D223">
        <v>481</v>
      </c>
      <c r="E223" t="str">
        <f>IF(VLOOKUP(D223,Couleurs!A:B,2) = 0, "[" &amp; D223 &amp; "]",VLOOKUP(D223,Couleurs!A:B,2))</f>
        <v>[481]</v>
      </c>
      <c r="F223" s="1" t="s">
        <v>199</v>
      </c>
      <c r="G223">
        <v>2</v>
      </c>
      <c r="H223" t="s">
        <v>1563</v>
      </c>
      <c r="I223" t="s">
        <v>1609</v>
      </c>
      <c r="J223">
        <f t="shared" si="6"/>
        <v>23.76</v>
      </c>
      <c r="K223" t="b">
        <f t="shared" si="7"/>
        <v>1</v>
      </c>
    </row>
    <row r="224" spans="2:11">
      <c r="B224">
        <v>220</v>
      </c>
      <c r="C224" t="s">
        <v>80</v>
      </c>
      <c r="D224">
        <v>9</v>
      </c>
      <c r="E224" t="str">
        <f>IF(VLOOKUP(D224,Couleurs!A:B,2) = 0, "[" &amp; D224 &amp; "]",VLOOKUP(D224,Couleurs!A:B,2))</f>
        <v>[9]</v>
      </c>
      <c r="F224" s="1" t="s">
        <v>215</v>
      </c>
      <c r="G224">
        <v>2</v>
      </c>
      <c r="H224" t="s">
        <v>1656</v>
      </c>
      <c r="I224" t="s">
        <v>1657</v>
      </c>
      <c r="J224">
        <f t="shared" si="6"/>
        <v>40.799999999999997</v>
      </c>
      <c r="K224" t="b">
        <f t="shared" si="7"/>
        <v>1</v>
      </c>
    </row>
    <row r="225" spans="2:11">
      <c r="B225">
        <v>221</v>
      </c>
      <c r="C225" t="s">
        <v>81</v>
      </c>
      <c r="D225">
        <v>408</v>
      </c>
      <c r="E225" t="str">
        <f>IF(VLOOKUP(D225,Couleurs!A:B,2) = 0, "[" &amp; D225 &amp; "]",VLOOKUP(D225,Couleurs!A:B,2))</f>
        <v>[408]</v>
      </c>
      <c r="F225" s="1" t="s">
        <v>216</v>
      </c>
      <c r="G225">
        <v>2</v>
      </c>
      <c r="H225" t="s">
        <v>1563</v>
      </c>
      <c r="I225" t="s">
        <v>1609</v>
      </c>
      <c r="J225">
        <f t="shared" si="6"/>
        <v>23.76</v>
      </c>
      <c r="K225" t="b">
        <f t="shared" si="7"/>
        <v>1</v>
      </c>
    </row>
    <row r="226" spans="2:11">
      <c r="B226">
        <v>222</v>
      </c>
      <c r="C226" t="s">
        <v>7</v>
      </c>
      <c r="D226">
        <v>55</v>
      </c>
      <c r="E226" t="str">
        <f>IF(VLOOKUP(D226,Couleurs!A:B,2) = 0, "[" &amp; D226 &amp; "]",VLOOKUP(D226,Couleurs!A:B,2))</f>
        <v>BLACK</v>
      </c>
      <c r="F226" s="1" t="s">
        <v>143</v>
      </c>
      <c r="G226">
        <v>6</v>
      </c>
      <c r="H226" t="s">
        <v>1563</v>
      </c>
      <c r="I226" t="s">
        <v>2172</v>
      </c>
      <c r="J226">
        <f t="shared" si="6"/>
        <v>71.28</v>
      </c>
      <c r="K226" t="b">
        <f t="shared" si="7"/>
        <v>1</v>
      </c>
    </row>
    <row r="227" spans="2:11">
      <c r="B227">
        <v>223</v>
      </c>
      <c r="C227" t="s">
        <v>82</v>
      </c>
      <c r="D227">
        <v>26</v>
      </c>
      <c r="E227" t="str">
        <f>IF(VLOOKUP(D227,Couleurs!A:B,2) = 0, "[" &amp; D227 &amp; "]",VLOOKUP(D227,Couleurs!A:B,2))</f>
        <v>[26]</v>
      </c>
      <c r="F227" s="1" t="s">
        <v>217</v>
      </c>
      <c r="G227">
        <v>3</v>
      </c>
      <c r="H227" t="s">
        <v>1570</v>
      </c>
      <c r="I227" t="s">
        <v>1571</v>
      </c>
      <c r="J227">
        <f t="shared" si="6"/>
        <v>25.200000000000003</v>
      </c>
      <c r="K227" t="b">
        <f t="shared" si="7"/>
        <v>1</v>
      </c>
    </row>
    <row r="228" spans="2:11">
      <c r="B228">
        <v>224</v>
      </c>
      <c r="C228" t="s">
        <v>82</v>
      </c>
      <c r="D228">
        <v>422</v>
      </c>
      <c r="E228" t="str">
        <f>IF(VLOOKUP(D228,Couleurs!A:B,2) = 0, "[" &amp; D228 &amp; "]",VLOOKUP(D228,Couleurs!A:B,2))</f>
        <v>SANGRIA</v>
      </c>
      <c r="F228" s="1" t="s">
        <v>217</v>
      </c>
      <c r="G228">
        <v>3</v>
      </c>
      <c r="H228" t="s">
        <v>1570</v>
      </c>
      <c r="I228" t="s">
        <v>1571</v>
      </c>
      <c r="J228">
        <f t="shared" si="6"/>
        <v>25.200000000000003</v>
      </c>
      <c r="K228" t="b">
        <f t="shared" si="7"/>
        <v>1</v>
      </c>
    </row>
    <row r="229" spans="2:11">
      <c r="B229">
        <v>225</v>
      </c>
      <c r="C229" t="s">
        <v>83</v>
      </c>
      <c r="D229">
        <v>347</v>
      </c>
      <c r="E229" t="str">
        <f>IF(VLOOKUP(D229,Couleurs!A:B,2) = 0, "[" &amp; D229 &amp; "]",VLOOKUP(D229,Couleurs!A:B,2))</f>
        <v>[347]</v>
      </c>
      <c r="F229" s="1" t="s">
        <v>218</v>
      </c>
      <c r="G229">
        <v>3</v>
      </c>
      <c r="H229" t="s">
        <v>1570</v>
      </c>
      <c r="I229" t="s">
        <v>1571</v>
      </c>
      <c r="J229">
        <f t="shared" si="6"/>
        <v>25.200000000000003</v>
      </c>
      <c r="K229" t="b">
        <f t="shared" si="7"/>
        <v>1</v>
      </c>
    </row>
    <row r="230" spans="2:11">
      <c r="B230">
        <v>226</v>
      </c>
      <c r="C230" t="s">
        <v>31</v>
      </c>
      <c r="D230">
        <v>26</v>
      </c>
      <c r="E230" t="str">
        <f>IF(VLOOKUP(D230,Couleurs!A:B,2) = 0, "[" &amp; D230 &amp; "]",VLOOKUP(D230,Couleurs!A:B,2))</f>
        <v>[26]</v>
      </c>
      <c r="F230" s="1" t="s">
        <v>167</v>
      </c>
      <c r="G230">
        <v>2</v>
      </c>
      <c r="H230" t="s">
        <v>1596</v>
      </c>
      <c r="I230" t="s">
        <v>1597</v>
      </c>
      <c r="J230">
        <f t="shared" si="6"/>
        <v>21.6</v>
      </c>
      <c r="K230" t="b">
        <f t="shared" si="7"/>
        <v>1</v>
      </c>
    </row>
    <row r="231" spans="2:11">
      <c r="B231">
        <v>227</v>
      </c>
      <c r="C231" t="s">
        <v>84</v>
      </c>
      <c r="D231">
        <v>441</v>
      </c>
      <c r="E231" t="str">
        <f>IF(VLOOKUP(D231,Couleurs!A:B,2) = 0, "[" &amp; D231 &amp; "]",VLOOKUP(D231,Couleurs!A:B,2))</f>
        <v>[441]</v>
      </c>
      <c r="F231" s="1" t="s">
        <v>219</v>
      </c>
      <c r="G231">
        <v>2</v>
      </c>
      <c r="H231" t="s">
        <v>1558</v>
      </c>
      <c r="I231" t="s">
        <v>1559</v>
      </c>
      <c r="J231">
        <f t="shared" si="6"/>
        <v>36.24</v>
      </c>
      <c r="K231" t="b">
        <f t="shared" si="7"/>
        <v>1</v>
      </c>
    </row>
    <row r="232" spans="2:11">
      <c r="B232">
        <v>228</v>
      </c>
      <c r="C232" t="s">
        <v>85</v>
      </c>
      <c r="D232">
        <v>474</v>
      </c>
      <c r="E232" t="str">
        <f>IF(VLOOKUP(D232,Couleurs!A:B,2) = 0, "[" &amp; D232 &amp; "]",VLOOKUP(D232,Couleurs!A:B,2))</f>
        <v>[474]</v>
      </c>
      <c r="F232" s="1" t="s">
        <v>220</v>
      </c>
      <c r="G232">
        <v>2</v>
      </c>
      <c r="H232" t="s">
        <v>1558</v>
      </c>
      <c r="I232" t="s">
        <v>1559</v>
      </c>
      <c r="J232">
        <f t="shared" si="6"/>
        <v>36.24</v>
      </c>
      <c r="K232" t="b">
        <f t="shared" si="7"/>
        <v>1</v>
      </c>
    </row>
    <row r="233" spans="2:11">
      <c r="B233">
        <v>229</v>
      </c>
      <c r="C233" t="s">
        <v>86</v>
      </c>
      <c r="D233">
        <v>481</v>
      </c>
      <c r="E233" t="str">
        <f>IF(VLOOKUP(D233,Couleurs!A:B,2) = 0, "[" &amp; D233 &amp; "]",VLOOKUP(D233,Couleurs!A:B,2))</f>
        <v>[481]</v>
      </c>
      <c r="F233" s="1" t="s">
        <v>221</v>
      </c>
      <c r="G233">
        <v>2</v>
      </c>
      <c r="H233" t="s">
        <v>1563</v>
      </c>
      <c r="I233" t="s">
        <v>1609</v>
      </c>
      <c r="J233">
        <f t="shared" si="6"/>
        <v>23.76</v>
      </c>
      <c r="K233" t="b">
        <f t="shared" si="7"/>
        <v>1</v>
      </c>
    </row>
    <row r="234" spans="2:11">
      <c r="B234">
        <v>230</v>
      </c>
      <c r="C234" t="s">
        <v>87</v>
      </c>
      <c r="D234">
        <v>474</v>
      </c>
      <c r="E234" t="str">
        <f>IF(VLOOKUP(D234,Couleurs!A:B,2) = 0, "[" &amp; D234 &amp; "]",VLOOKUP(D234,Couleurs!A:B,2))</f>
        <v>[474]</v>
      </c>
      <c r="F234" s="1" t="s">
        <v>222</v>
      </c>
      <c r="G234">
        <v>2</v>
      </c>
      <c r="H234" t="s">
        <v>1564</v>
      </c>
      <c r="I234" t="s">
        <v>1569</v>
      </c>
      <c r="J234">
        <f t="shared" si="6"/>
        <v>31.2</v>
      </c>
      <c r="K234" t="b">
        <f t="shared" si="7"/>
        <v>1</v>
      </c>
    </row>
    <row r="235" spans="2:11">
      <c r="B235">
        <v>231</v>
      </c>
      <c r="C235" t="s">
        <v>54</v>
      </c>
      <c r="D235">
        <v>479</v>
      </c>
      <c r="E235" t="str">
        <f>IF(VLOOKUP(D235,Couleurs!A:B,2) = 0, "[" &amp; D235 &amp; "]",VLOOKUP(D235,Couleurs!A:B,2))</f>
        <v>[479]</v>
      </c>
      <c r="F235" s="1" t="s">
        <v>190</v>
      </c>
      <c r="G235">
        <v>6</v>
      </c>
      <c r="H235" t="s">
        <v>1633</v>
      </c>
      <c r="I235" t="s">
        <v>1597</v>
      </c>
      <c r="J235">
        <f t="shared" si="6"/>
        <v>21.6</v>
      </c>
      <c r="K235" t="b">
        <f t="shared" si="7"/>
        <v>1</v>
      </c>
    </row>
    <row r="236" spans="2:11">
      <c r="B236">
        <v>232</v>
      </c>
      <c r="C236" t="s">
        <v>88</v>
      </c>
      <c r="D236">
        <v>479</v>
      </c>
      <c r="E236" t="str">
        <f>IF(VLOOKUP(D236,Couleurs!A:B,2) = 0, "[" &amp; D236 &amp; "]",VLOOKUP(D236,Couleurs!A:B,2))</f>
        <v>[479]</v>
      </c>
      <c r="F236" s="1" t="s">
        <v>223</v>
      </c>
      <c r="G236">
        <v>2</v>
      </c>
      <c r="H236">
        <v>24</v>
      </c>
      <c r="I236">
        <v>48</v>
      </c>
      <c r="J236">
        <f t="shared" si="6"/>
        <v>48</v>
      </c>
      <c r="K236" t="b">
        <f t="shared" si="7"/>
        <v>1</v>
      </c>
    </row>
    <row r="237" spans="2:11">
      <c r="B237">
        <v>233</v>
      </c>
      <c r="C237" t="s">
        <v>1658</v>
      </c>
      <c r="D237">
        <v>72</v>
      </c>
      <c r="E237" t="str">
        <f>IF(VLOOKUP(D237,Couleurs!A:B,2) = 0, "[" &amp; D237 &amp; "]",VLOOKUP(D237,Couleurs!A:B,2))</f>
        <v>[72]</v>
      </c>
      <c r="F237" s="1" t="s">
        <v>1659</v>
      </c>
      <c r="G237">
        <v>2</v>
      </c>
      <c r="H237" t="s">
        <v>1552</v>
      </c>
      <c r="I237" t="s">
        <v>1562</v>
      </c>
      <c r="J237">
        <f t="shared" si="6"/>
        <v>25.44</v>
      </c>
      <c r="K237" t="b">
        <f t="shared" si="7"/>
        <v>1</v>
      </c>
    </row>
    <row r="238" spans="2:11">
      <c r="B238">
        <v>234</v>
      </c>
      <c r="C238" t="s">
        <v>69</v>
      </c>
      <c r="D238">
        <v>479</v>
      </c>
      <c r="E238" t="str">
        <f>IF(VLOOKUP(D238,Couleurs!A:B,2) = 0, "[" &amp; D238 &amp; "]",VLOOKUP(D238,Couleurs!A:B,2))</f>
        <v>[479]</v>
      </c>
      <c r="F238" s="1" t="s">
        <v>205</v>
      </c>
      <c r="G238">
        <v>2</v>
      </c>
      <c r="H238" t="s">
        <v>1568</v>
      </c>
      <c r="I238" t="s">
        <v>1642</v>
      </c>
      <c r="J238">
        <f t="shared" si="6"/>
        <v>38.64</v>
      </c>
      <c r="K238" t="b">
        <f t="shared" si="7"/>
        <v>1</v>
      </c>
    </row>
    <row r="239" spans="2:11">
      <c r="B239">
        <v>235</v>
      </c>
      <c r="C239" t="s">
        <v>89</v>
      </c>
      <c r="D239">
        <v>483</v>
      </c>
      <c r="E239" t="str">
        <f>IF(VLOOKUP(D239,Couleurs!A:B,2) = 0, "[" &amp; D239 &amp; "]",VLOOKUP(D239,Couleurs!A:B,2))</f>
        <v>[483]</v>
      </c>
      <c r="F239" s="1" t="s">
        <v>224</v>
      </c>
      <c r="G239">
        <v>3</v>
      </c>
      <c r="H239">
        <v>9</v>
      </c>
      <c r="I239">
        <v>27</v>
      </c>
      <c r="J239">
        <f t="shared" si="6"/>
        <v>27</v>
      </c>
      <c r="K239" t="b">
        <f t="shared" si="7"/>
        <v>1</v>
      </c>
    </row>
    <row r="240" spans="2:11">
      <c r="B240">
        <v>236</v>
      </c>
      <c r="C240" t="s">
        <v>1610</v>
      </c>
      <c r="D240">
        <v>347</v>
      </c>
      <c r="E240" t="str">
        <f>IF(VLOOKUP(D240,Couleurs!A:B,2) = 0, "[" &amp; D240 &amp; "]",VLOOKUP(D240,Couleurs!A:B,2))</f>
        <v>[347]</v>
      </c>
      <c r="F240" s="1" t="s">
        <v>1611</v>
      </c>
      <c r="G240">
        <v>3</v>
      </c>
      <c r="H240" t="s">
        <v>1563</v>
      </c>
      <c r="I240" t="s">
        <v>1580</v>
      </c>
      <c r="J240">
        <f t="shared" si="6"/>
        <v>35.64</v>
      </c>
      <c r="K240" t="b">
        <f t="shared" si="7"/>
        <v>1</v>
      </c>
    </row>
    <row r="241" spans="2:11">
      <c r="B241">
        <v>237</v>
      </c>
      <c r="C241" t="s">
        <v>26</v>
      </c>
      <c r="D241">
        <v>371</v>
      </c>
      <c r="E241" t="str">
        <f>IF(VLOOKUP(D241,Couleurs!A:B,2) = 0, "[" &amp; D241 &amp; "]",VLOOKUP(D241,Couleurs!A:B,2))</f>
        <v>MILK</v>
      </c>
      <c r="F241" s="1" t="s">
        <v>159</v>
      </c>
      <c r="G241">
        <v>1</v>
      </c>
      <c r="H241" t="s">
        <v>1555</v>
      </c>
      <c r="I241" t="s">
        <v>1555</v>
      </c>
      <c r="J241">
        <f t="shared" si="6"/>
        <v>14.4</v>
      </c>
      <c r="K241" t="b">
        <f t="shared" si="7"/>
        <v>1</v>
      </c>
    </row>
    <row r="242" spans="2:11">
      <c r="B242">
        <v>238</v>
      </c>
      <c r="C242" t="s">
        <v>22</v>
      </c>
      <c r="D242">
        <v>17</v>
      </c>
      <c r="E242" t="str">
        <f>IF(VLOOKUP(D242,Couleurs!A:B,2) = 0, "[" &amp; D242 &amp; "]",VLOOKUP(D242,Couleurs!A:B,2))</f>
        <v>NAVY BLUE</v>
      </c>
      <c r="F242" s="1" t="s">
        <v>155</v>
      </c>
      <c r="G242">
        <v>1</v>
      </c>
      <c r="H242" t="s">
        <v>1555</v>
      </c>
      <c r="I242" t="s">
        <v>1555</v>
      </c>
      <c r="J242">
        <f t="shared" si="6"/>
        <v>14.4</v>
      </c>
      <c r="K242" t="b">
        <f t="shared" si="7"/>
        <v>1</v>
      </c>
    </row>
    <row r="243" spans="2:11">
      <c r="B243">
        <v>239</v>
      </c>
      <c r="C243" t="s">
        <v>49</v>
      </c>
      <c r="D243">
        <v>26</v>
      </c>
      <c r="E243" t="str">
        <f>IF(VLOOKUP(D243,Couleurs!A:B,2) = 0, "[" &amp; D243 &amp; "]",VLOOKUP(D243,Couleurs!A:B,2))</f>
        <v>[26]</v>
      </c>
      <c r="F243" s="1" t="s">
        <v>185</v>
      </c>
      <c r="G243">
        <v>3</v>
      </c>
      <c r="H243" t="s">
        <v>1584</v>
      </c>
      <c r="I243" t="s">
        <v>1585</v>
      </c>
      <c r="J243">
        <f t="shared" si="6"/>
        <v>21.240000000000002</v>
      </c>
      <c r="K243" t="b">
        <f t="shared" si="7"/>
        <v>1</v>
      </c>
    </row>
    <row r="244" spans="2:11">
      <c r="B244">
        <v>240</v>
      </c>
      <c r="C244" t="s">
        <v>34</v>
      </c>
      <c r="D244">
        <v>17</v>
      </c>
      <c r="E244" t="str">
        <f>IF(VLOOKUP(D244,Couleurs!A:B,2) = 0, "[" &amp; D244 &amp; "]",VLOOKUP(D244,Couleurs!A:B,2))</f>
        <v>NAVY BLUE</v>
      </c>
      <c r="F244" s="1" t="s">
        <v>170</v>
      </c>
      <c r="G244">
        <v>2</v>
      </c>
      <c r="H244" t="s">
        <v>1607</v>
      </c>
      <c r="I244" t="s">
        <v>1608</v>
      </c>
      <c r="J244">
        <f t="shared" si="6"/>
        <v>22.08</v>
      </c>
      <c r="K244" t="b">
        <f t="shared" si="7"/>
        <v>1</v>
      </c>
    </row>
    <row r="245" spans="2:11">
      <c r="B245">
        <v>241</v>
      </c>
      <c r="C245" t="s">
        <v>25</v>
      </c>
      <c r="D245">
        <v>76</v>
      </c>
      <c r="E245" t="str">
        <f>IF(VLOOKUP(D245,Couleurs!A:B,2) = 0, "[" &amp; D245 &amp; "]",VLOOKUP(D245,Couleurs!A:B,2))</f>
        <v>[76]</v>
      </c>
      <c r="F245" s="1" t="s">
        <v>158</v>
      </c>
      <c r="G245">
        <v>2</v>
      </c>
      <c r="H245" t="s">
        <v>1576</v>
      </c>
      <c r="I245" t="s">
        <v>1571</v>
      </c>
      <c r="J245">
        <f t="shared" si="6"/>
        <v>25.2</v>
      </c>
      <c r="K245" t="b">
        <f t="shared" si="7"/>
        <v>1</v>
      </c>
    </row>
    <row r="246" spans="2:11">
      <c r="B246">
        <v>242</v>
      </c>
      <c r="C246" t="s">
        <v>25</v>
      </c>
      <c r="D246">
        <v>78</v>
      </c>
      <c r="E246" t="str">
        <f>IF(VLOOKUP(D246,Couleurs!A:B,2) = 0, "[" &amp; D246 &amp; "]",VLOOKUP(D246,Couleurs!A:B,2))</f>
        <v>SAND</v>
      </c>
      <c r="F246" s="1" t="s">
        <v>158</v>
      </c>
      <c r="G246">
        <v>2</v>
      </c>
      <c r="H246" t="s">
        <v>1576</v>
      </c>
      <c r="I246" t="s">
        <v>1571</v>
      </c>
      <c r="J246">
        <f t="shared" si="6"/>
        <v>25.2</v>
      </c>
      <c r="K246" t="b">
        <f t="shared" si="7"/>
        <v>1</v>
      </c>
    </row>
    <row r="247" spans="2:11">
      <c r="B247">
        <v>243</v>
      </c>
      <c r="C247" t="s">
        <v>21</v>
      </c>
      <c r="D247">
        <v>422</v>
      </c>
      <c r="E247" t="str">
        <f>IF(VLOOKUP(D247,Couleurs!A:B,2) = 0, "[" &amp; D247 &amp; "]",VLOOKUP(D247,Couleurs!A:B,2))</f>
        <v>SANGRIA</v>
      </c>
      <c r="F247" s="1" t="s">
        <v>154</v>
      </c>
      <c r="G247">
        <v>3</v>
      </c>
      <c r="H247" t="s">
        <v>1555</v>
      </c>
      <c r="I247" t="s">
        <v>1565</v>
      </c>
      <c r="J247">
        <f t="shared" si="6"/>
        <v>43.2</v>
      </c>
      <c r="K247" t="b">
        <f t="shared" si="7"/>
        <v>1</v>
      </c>
    </row>
    <row r="248" spans="2:11">
      <c r="B248">
        <v>244</v>
      </c>
      <c r="C248" t="s">
        <v>22</v>
      </c>
      <c r="D248">
        <v>422</v>
      </c>
      <c r="E248" t="str">
        <f>IF(VLOOKUP(D248,Couleurs!A:B,2) = 0, "[" &amp; D248 &amp; "]",VLOOKUP(D248,Couleurs!A:B,2))</f>
        <v>SANGRIA</v>
      </c>
      <c r="F248" s="1" t="s">
        <v>155</v>
      </c>
      <c r="G248">
        <v>2</v>
      </c>
      <c r="H248" t="s">
        <v>1555</v>
      </c>
      <c r="I248" t="s">
        <v>1574</v>
      </c>
      <c r="J248">
        <f t="shared" si="6"/>
        <v>28.8</v>
      </c>
      <c r="K248" t="b">
        <f t="shared" si="7"/>
        <v>1</v>
      </c>
    </row>
    <row r="249" spans="2:11">
      <c r="B249">
        <v>245</v>
      </c>
      <c r="C249" t="s">
        <v>1577</v>
      </c>
      <c r="D249">
        <v>54</v>
      </c>
      <c r="E249" t="str">
        <f>IF(VLOOKUP(D249,Couleurs!A:B,2) = 0, "[" &amp; D249 &amp; "]",VLOOKUP(D249,Couleurs!A:B,2))</f>
        <v>[54]</v>
      </c>
      <c r="F249" s="1" t="s">
        <v>2175</v>
      </c>
      <c r="G249">
        <v>3</v>
      </c>
      <c r="H249" t="s">
        <v>1550</v>
      </c>
      <c r="I249" t="s">
        <v>1551</v>
      </c>
      <c r="J249">
        <f t="shared" si="6"/>
        <v>23.4</v>
      </c>
      <c r="K249" t="b">
        <f t="shared" si="7"/>
        <v>1</v>
      </c>
    </row>
    <row r="250" spans="2:11">
      <c r="B250">
        <v>246</v>
      </c>
      <c r="C250" t="s">
        <v>1610</v>
      </c>
      <c r="D250">
        <v>76</v>
      </c>
      <c r="E250" t="str">
        <f>IF(VLOOKUP(D250,Couleurs!A:B,2) = 0, "[" &amp; D250 &amp; "]",VLOOKUP(D250,Couleurs!A:B,2))</f>
        <v>[76]</v>
      </c>
      <c r="F250" s="1" t="s">
        <v>1611</v>
      </c>
      <c r="G250">
        <v>3</v>
      </c>
      <c r="H250" t="s">
        <v>1563</v>
      </c>
      <c r="I250" t="s">
        <v>1580</v>
      </c>
      <c r="J250">
        <f t="shared" si="6"/>
        <v>35.64</v>
      </c>
      <c r="K250" t="b">
        <f t="shared" si="7"/>
        <v>1</v>
      </c>
    </row>
    <row r="251" spans="2:11">
      <c r="B251">
        <v>247</v>
      </c>
      <c r="C251" t="s">
        <v>34</v>
      </c>
      <c r="D251">
        <v>371</v>
      </c>
      <c r="E251" t="str">
        <f>IF(VLOOKUP(D251,Couleurs!A:B,2) = 0, "[" &amp; D251 &amp; "]",VLOOKUP(D251,Couleurs!A:B,2))</f>
        <v>MILK</v>
      </c>
      <c r="F251" s="1" t="s">
        <v>170</v>
      </c>
      <c r="G251">
        <v>2</v>
      </c>
      <c r="H251" t="s">
        <v>1607</v>
      </c>
      <c r="I251" t="s">
        <v>1608</v>
      </c>
      <c r="J251">
        <f t="shared" si="6"/>
        <v>22.08</v>
      </c>
      <c r="K251" t="b">
        <f t="shared" si="7"/>
        <v>1</v>
      </c>
    </row>
    <row r="252" spans="2:11">
      <c r="B252">
        <v>248</v>
      </c>
      <c r="C252" t="s">
        <v>34</v>
      </c>
      <c r="D252">
        <v>347</v>
      </c>
      <c r="E252" t="str">
        <f>IF(VLOOKUP(D252,Couleurs!A:B,2) = 0, "[" &amp; D252 &amp; "]",VLOOKUP(D252,Couleurs!A:B,2))</f>
        <v>[347]</v>
      </c>
      <c r="F252" s="1" t="s">
        <v>170</v>
      </c>
      <c r="G252">
        <v>2</v>
      </c>
      <c r="H252" t="s">
        <v>1607</v>
      </c>
      <c r="I252" t="s">
        <v>1608</v>
      </c>
      <c r="J252">
        <f t="shared" si="6"/>
        <v>22.08</v>
      </c>
      <c r="K252" t="b">
        <f t="shared" si="7"/>
        <v>1</v>
      </c>
    </row>
    <row r="253" spans="2:11">
      <c r="B253">
        <v>249</v>
      </c>
      <c r="C253" t="s">
        <v>1579</v>
      </c>
      <c r="D253">
        <v>78</v>
      </c>
      <c r="E253" t="str">
        <f>IF(VLOOKUP(D253,Couleurs!A:B,2) = 0, "[" &amp; D253 &amp; "]",VLOOKUP(D253,Couleurs!A:B,2))</f>
        <v>SAND</v>
      </c>
      <c r="F253" s="1" t="s">
        <v>2176</v>
      </c>
      <c r="G253">
        <v>2</v>
      </c>
      <c r="H253" t="s">
        <v>1563</v>
      </c>
      <c r="I253" t="s">
        <v>1609</v>
      </c>
      <c r="J253">
        <f t="shared" si="6"/>
        <v>23.76</v>
      </c>
      <c r="K253" t="b">
        <f t="shared" si="7"/>
        <v>1</v>
      </c>
    </row>
    <row r="254" spans="2:11">
      <c r="B254">
        <v>250</v>
      </c>
      <c r="C254" t="s">
        <v>21</v>
      </c>
      <c r="D254">
        <v>485</v>
      </c>
      <c r="E254" t="str">
        <f>IF(VLOOKUP(D254,Couleurs!A:B,2) = 0, "[" &amp; D254 &amp; "]",VLOOKUP(D254,Couleurs!A:B,2))</f>
        <v>[485]</v>
      </c>
      <c r="F254" s="1" t="s">
        <v>154</v>
      </c>
      <c r="G254">
        <v>3</v>
      </c>
      <c r="H254" t="s">
        <v>1555</v>
      </c>
      <c r="I254" t="s">
        <v>1565</v>
      </c>
      <c r="J254">
        <f t="shared" si="6"/>
        <v>43.2</v>
      </c>
      <c r="K254" t="b">
        <f t="shared" si="7"/>
        <v>1</v>
      </c>
    </row>
    <row r="255" spans="2:11">
      <c r="B255">
        <v>251</v>
      </c>
      <c r="C255" t="s">
        <v>27</v>
      </c>
      <c r="D255">
        <v>55</v>
      </c>
      <c r="E255" t="str">
        <f>IF(VLOOKUP(D255,Couleurs!A:B,2) = 0, "[" &amp; D255 &amp; "]",VLOOKUP(D255,Couleurs!A:B,2))</f>
        <v>BLACK</v>
      </c>
      <c r="F255" s="1" t="s">
        <v>160</v>
      </c>
      <c r="G255">
        <v>6</v>
      </c>
      <c r="H255" t="s">
        <v>1581</v>
      </c>
      <c r="I255" t="s">
        <v>1582</v>
      </c>
      <c r="J255">
        <f t="shared" si="6"/>
        <v>11.52</v>
      </c>
      <c r="K255" t="b">
        <f t="shared" si="7"/>
        <v>1</v>
      </c>
    </row>
    <row r="256" spans="2:11">
      <c r="B256">
        <v>252</v>
      </c>
      <c r="C256" t="s">
        <v>27</v>
      </c>
      <c r="D256">
        <v>59</v>
      </c>
      <c r="E256" t="str">
        <f>IF(VLOOKUP(D256,Couleurs!A:B,2) = 0, "[" &amp; D256 &amp; "]",VLOOKUP(D256,Couleurs!A:B,2))</f>
        <v>BLACK</v>
      </c>
      <c r="F256" s="1" t="s">
        <v>160</v>
      </c>
      <c r="G256">
        <v>6</v>
      </c>
      <c r="H256" t="s">
        <v>1581</v>
      </c>
      <c r="I256" t="s">
        <v>1582</v>
      </c>
      <c r="J256">
        <f t="shared" si="6"/>
        <v>11.52</v>
      </c>
      <c r="K256" t="b">
        <f t="shared" si="7"/>
        <v>1</v>
      </c>
    </row>
    <row r="257" spans="2:11">
      <c r="B257">
        <v>253</v>
      </c>
      <c r="C257" t="s">
        <v>35</v>
      </c>
      <c r="D257">
        <v>8</v>
      </c>
      <c r="E257" t="str">
        <f>IF(VLOOKUP(D257,Couleurs!A:B,2) = 0, "[" &amp; D257 &amp; "]",VLOOKUP(D257,Couleurs!A:B,2))</f>
        <v>WHITE</v>
      </c>
      <c r="F257" s="1" t="s">
        <v>171</v>
      </c>
      <c r="G257">
        <v>6</v>
      </c>
      <c r="H257" t="s">
        <v>1612</v>
      </c>
      <c r="I257" t="s">
        <v>1613</v>
      </c>
      <c r="J257">
        <f t="shared" si="6"/>
        <v>15.120000000000001</v>
      </c>
      <c r="K257" t="b">
        <f t="shared" si="7"/>
        <v>1</v>
      </c>
    </row>
    <row r="258" spans="2:11">
      <c r="B258">
        <v>254</v>
      </c>
      <c r="C258" t="s">
        <v>35</v>
      </c>
      <c r="D258">
        <v>60</v>
      </c>
      <c r="E258" t="str">
        <f>IF(VLOOKUP(D258,Couleurs!A:B,2) = 0, "[" &amp; D258 &amp; "]",VLOOKUP(D258,Couleurs!A:B,2))</f>
        <v>BLACK</v>
      </c>
      <c r="F258" s="1" t="s">
        <v>171</v>
      </c>
      <c r="G258">
        <v>6</v>
      </c>
      <c r="H258" t="s">
        <v>1612</v>
      </c>
      <c r="I258" t="s">
        <v>1613</v>
      </c>
      <c r="J258">
        <f t="shared" si="6"/>
        <v>15.120000000000001</v>
      </c>
      <c r="K258" t="b">
        <f t="shared" si="7"/>
        <v>1</v>
      </c>
    </row>
    <row r="259" spans="2:11">
      <c r="B259">
        <v>255</v>
      </c>
      <c r="C259" t="s">
        <v>90</v>
      </c>
      <c r="D259">
        <v>36</v>
      </c>
      <c r="E259" t="str">
        <f>IF(VLOOKUP(D259,Couleurs!A:B,2) = 0, "[" &amp; D259 &amp; "]",VLOOKUP(D259,Couleurs!A:B,2))</f>
        <v>[36]</v>
      </c>
      <c r="F259" s="1" t="s">
        <v>225</v>
      </c>
      <c r="G259">
        <v>2</v>
      </c>
      <c r="H259" t="s">
        <v>1552</v>
      </c>
      <c r="I259" t="s">
        <v>1562</v>
      </c>
      <c r="J259">
        <f t="shared" si="6"/>
        <v>25.44</v>
      </c>
      <c r="K259" t="b">
        <f t="shared" si="7"/>
        <v>1</v>
      </c>
    </row>
    <row r="260" spans="2:11">
      <c r="B260">
        <v>256</v>
      </c>
      <c r="C260" t="s">
        <v>91</v>
      </c>
      <c r="D260">
        <v>55</v>
      </c>
      <c r="E260" t="str">
        <f>IF(VLOOKUP(D260,Couleurs!A:B,2) = 0, "[" &amp; D260 &amp; "]",VLOOKUP(D260,Couleurs!A:B,2))</f>
        <v>BLACK</v>
      </c>
      <c r="F260" s="1" t="s">
        <v>226</v>
      </c>
      <c r="G260">
        <v>2</v>
      </c>
      <c r="H260" t="s">
        <v>1558</v>
      </c>
      <c r="I260" t="s">
        <v>1559</v>
      </c>
      <c r="J260">
        <f t="shared" si="6"/>
        <v>36.24</v>
      </c>
      <c r="K260" t="b">
        <f t="shared" si="7"/>
        <v>1</v>
      </c>
    </row>
    <row r="261" spans="2:11">
      <c r="B261">
        <v>257</v>
      </c>
      <c r="C261" t="s">
        <v>5</v>
      </c>
      <c r="D261">
        <v>76</v>
      </c>
      <c r="E261" t="str">
        <f>IF(VLOOKUP(D261,Couleurs!A:B,2) = 0, "[" &amp; D261 &amp; "]",VLOOKUP(D261,Couleurs!A:B,2))</f>
        <v>[76]</v>
      </c>
      <c r="F261" s="1" t="s">
        <v>141</v>
      </c>
      <c r="G261">
        <v>2</v>
      </c>
      <c r="H261" t="s">
        <v>1560</v>
      </c>
      <c r="I261" t="s">
        <v>1561</v>
      </c>
      <c r="J261">
        <f t="shared" ref="J261:J324" si="8">G261*H261</f>
        <v>18.72</v>
      </c>
      <c r="K261" t="b">
        <f t="shared" ref="K261:K324" si="9">(0+I261)=J261</f>
        <v>1</v>
      </c>
    </row>
    <row r="262" spans="2:11">
      <c r="B262">
        <v>258</v>
      </c>
      <c r="C262" t="s">
        <v>92</v>
      </c>
      <c r="D262">
        <v>241</v>
      </c>
      <c r="E262" t="str">
        <f>IF(VLOOKUP(D262,Couleurs!A:B,2) = 0, "[" &amp; D262 &amp; "]",VLOOKUP(D262,Couleurs!A:B,2))</f>
        <v>[241]</v>
      </c>
      <c r="F262" s="1" t="s">
        <v>227</v>
      </c>
      <c r="G262">
        <v>4</v>
      </c>
      <c r="H262" t="s">
        <v>1576</v>
      </c>
      <c r="I262" t="s">
        <v>2203</v>
      </c>
      <c r="J262">
        <f t="shared" si="8"/>
        <v>50.4</v>
      </c>
      <c r="K262" t="b">
        <f t="shared" si="9"/>
        <v>1</v>
      </c>
    </row>
    <row r="263" spans="2:11">
      <c r="B263">
        <v>259</v>
      </c>
      <c r="C263" t="s">
        <v>68</v>
      </c>
      <c r="D263">
        <v>76</v>
      </c>
      <c r="E263" t="str">
        <f>IF(VLOOKUP(D263,Couleurs!A:B,2) = 0, "[" &amp; D263 &amp; "]",VLOOKUP(D263,Couleurs!A:B,2))</f>
        <v>[76]</v>
      </c>
      <c r="F263" s="1" t="s">
        <v>204</v>
      </c>
      <c r="G263">
        <v>2</v>
      </c>
      <c r="H263" t="s">
        <v>1596</v>
      </c>
      <c r="I263" t="s">
        <v>1597</v>
      </c>
      <c r="J263">
        <f t="shared" si="8"/>
        <v>21.6</v>
      </c>
      <c r="K263" t="b">
        <f t="shared" si="9"/>
        <v>1</v>
      </c>
    </row>
    <row r="264" spans="2:11">
      <c r="B264">
        <v>260</v>
      </c>
      <c r="C264" t="s">
        <v>1655</v>
      </c>
      <c r="D264">
        <v>76</v>
      </c>
      <c r="E264" t="str">
        <f>IF(VLOOKUP(D264,Couleurs!A:B,2) = 0, "[" &amp; D264 &amp; "]",VLOOKUP(D264,Couleurs!A:B,2))</f>
        <v>[76]</v>
      </c>
      <c r="F264" s="1" t="s">
        <v>2202</v>
      </c>
      <c r="G264">
        <v>2</v>
      </c>
      <c r="H264" t="s">
        <v>1596</v>
      </c>
      <c r="I264" t="s">
        <v>1597</v>
      </c>
      <c r="J264">
        <f t="shared" si="8"/>
        <v>21.6</v>
      </c>
      <c r="K264" t="b">
        <f t="shared" si="9"/>
        <v>1</v>
      </c>
    </row>
    <row r="265" spans="2:11">
      <c r="B265">
        <v>261</v>
      </c>
      <c r="C265" t="s">
        <v>15</v>
      </c>
      <c r="D265">
        <v>76</v>
      </c>
      <c r="E265" t="str">
        <f>IF(VLOOKUP(D265,Couleurs!A:B,2) = 0, "[" &amp; D265 &amp; "]",VLOOKUP(D265,Couleurs!A:B,2))</f>
        <v>[76]</v>
      </c>
      <c r="F265" s="1" t="s">
        <v>166</v>
      </c>
      <c r="G265">
        <v>2</v>
      </c>
      <c r="H265" t="s">
        <v>1594</v>
      </c>
      <c r="I265" t="s">
        <v>1595</v>
      </c>
      <c r="J265">
        <f t="shared" si="8"/>
        <v>19.559999999999999</v>
      </c>
      <c r="K265" t="b">
        <f t="shared" si="9"/>
        <v>1</v>
      </c>
    </row>
    <row r="266" spans="2:11">
      <c r="B266">
        <v>262</v>
      </c>
      <c r="C266" t="s">
        <v>1660</v>
      </c>
      <c r="D266">
        <v>475</v>
      </c>
      <c r="E266" t="str">
        <f>IF(VLOOKUP(D266,Couleurs!A:B,2) = 0, "[" &amp; D266 &amp; "]",VLOOKUP(D266,Couleurs!A:B,2))</f>
        <v>[475]</v>
      </c>
      <c r="F266" s="1" t="s">
        <v>2204</v>
      </c>
      <c r="G266">
        <v>3</v>
      </c>
      <c r="H266" t="s">
        <v>1576</v>
      </c>
      <c r="I266" t="s">
        <v>1661</v>
      </c>
      <c r="J266">
        <f t="shared" si="8"/>
        <v>37.799999999999997</v>
      </c>
      <c r="K266" t="b">
        <f t="shared" si="9"/>
        <v>1</v>
      </c>
    </row>
    <row r="267" spans="2:11">
      <c r="B267">
        <v>263</v>
      </c>
      <c r="C267" t="s">
        <v>93</v>
      </c>
      <c r="D267">
        <v>254</v>
      </c>
      <c r="E267" t="str">
        <f>IF(VLOOKUP(D267,Couleurs!A:B,2) = 0, "[" &amp; D267 &amp; "]",VLOOKUP(D267,Couleurs!A:B,2))</f>
        <v>[254]</v>
      </c>
      <c r="F267" s="1" t="s">
        <v>228</v>
      </c>
      <c r="G267">
        <v>2</v>
      </c>
      <c r="H267" t="s">
        <v>1662</v>
      </c>
      <c r="I267" t="s">
        <v>1663</v>
      </c>
      <c r="J267">
        <f t="shared" si="8"/>
        <v>21.36</v>
      </c>
      <c r="K267" t="b">
        <f t="shared" si="9"/>
        <v>1</v>
      </c>
    </row>
    <row r="268" spans="2:11">
      <c r="B268">
        <v>264</v>
      </c>
      <c r="C268" t="s">
        <v>1664</v>
      </c>
      <c r="D268">
        <v>473</v>
      </c>
      <c r="E268" t="str">
        <f>IF(VLOOKUP(D268,Couleurs!A:B,2) = 0, "[" &amp; D268 &amp; "]",VLOOKUP(D268,Couleurs!A:B,2))</f>
        <v>[473]</v>
      </c>
      <c r="F268" s="1" t="s">
        <v>2205</v>
      </c>
      <c r="G268">
        <v>2</v>
      </c>
      <c r="H268" t="s">
        <v>1558</v>
      </c>
      <c r="I268" t="s">
        <v>1559</v>
      </c>
      <c r="J268">
        <f t="shared" si="8"/>
        <v>36.24</v>
      </c>
      <c r="K268" t="b">
        <f t="shared" si="9"/>
        <v>1</v>
      </c>
    </row>
    <row r="269" spans="2:11">
      <c r="B269">
        <v>265</v>
      </c>
      <c r="C269" t="s">
        <v>94</v>
      </c>
      <c r="D269">
        <v>17</v>
      </c>
      <c r="E269" t="str">
        <f>IF(VLOOKUP(D269,Couleurs!A:B,2) = 0, "[" &amp; D269 &amp; "]",VLOOKUP(D269,Couleurs!A:B,2))</f>
        <v>NAVY BLUE</v>
      </c>
      <c r="F269" s="1" t="s">
        <v>229</v>
      </c>
      <c r="G269">
        <v>2</v>
      </c>
      <c r="H269" t="s">
        <v>1555</v>
      </c>
      <c r="I269" t="s">
        <v>1574</v>
      </c>
      <c r="J269">
        <f t="shared" si="8"/>
        <v>28.8</v>
      </c>
      <c r="K269" t="b">
        <f t="shared" si="9"/>
        <v>1</v>
      </c>
    </row>
    <row r="270" spans="2:11">
      <c r="B270">
        <v>266</v>
      </c>
      <c r="C270" t="s">
        <v>79</v>
      </c>
      <c r="D270">
        <v>76</v>
      </c>
      <c r="E270" t="str">
        <f>IF(VLOOKUP(D270,Couleurs!A:B,2) = 0, "[" &amp; D270 &amp; "]",VLOOKUP(D270,Couleurs!A:B,2))</f>
        <v>[76]</v>
      </c>
      <c r="F270" s="1" t="s">
        <v>214</v>
      </c>
      <c r="G270">
        <v>3</v>
      </c>
      <c r="H270" t="s">
        <v>1654</v>
      </c>
      <c r="I270" t="s">
        <v>2201</v>
      </c>
      <c r="J270">
        <f t="shared" si="8"/>
        <v>39.96</v>
      </c>
      <c r="K270" t="b">
        <f t="shared" si="9"/>
        <v>1</v>
      </c>
    </row>
    <row r="271" spans="2:11">
      <c r="B271">
        <v>267</v>
      </c>
      <c r="C271" t="s">
        <v>95</v>
      </c>
      <c r="D271">
        <v>254</v>
      </c>
      <c r="E271" t="str">
        <f>IF(VLOOKUP(D271,Couleurs!A:B,2) = 0, "[" &amp; D271 &amp; "]",VLOOKUP(D271,Couleurs!A:B,2))</f>
        <v>[254]</v>
      </c>
      <c r="F271" s="1" t="s">
        <v>230</v>
      </c>
      <c r="G271">
        <v>3</v>
      </c>
      <c r="H271" t="s">
        <v>1662</v>
      </c>
      <c r="I271" t="s">
        <v>2206</v>
      </c>
      <c r="J271">
        <f t="shared" si="8"/>
        <v>32.04</v>
      </c>
      <c r="K271" t="b">
        <f t="shared" si="9"/>
        <v>1</v>
      </c>
    </row>
    <row r="272" spans="2:11">
      <c r="B272">
        <v>268</v>
      </c>
      <c r="C272" t="s">
        <v>1600</v>
      </c>
      <c r="D272">
        <v>26</v>
      </c>
      <c r="E272" t="str">
        <f>IF(VLOOKUP(D272,Couleurs!A:B,2) = 0, "[" &amp; D272 &amp; "]",VLOOKUP(D272,Couleurs!A:B,2))</f>
        <v>[26]</v>
      </c>
      <c r="F272" s="1" t="s">
        <v>2182</v>
      </c>
      <c r="G272">
        <v>3</v>
      </c>
      <c r="H272" t="s">
        <v>1601</v>
      </c>
      <c r="I272" t="s">
        <v>1602</v>
      </c>
      <c r="J272">
        <f t="shared" si="8"/>
        <v>19.799999999999997</v>
      </c>
      <c r="K272" t="b">
        <f t="shared" si="9"/>
        <v>1</v>
      </c>
    </row>
    <row r="273" spans="2:11">
      <c r="B273">
        <v>269</v>
      </c>
      <c r="C273" t="s">
        <v>96</v>
      </c>
      <c r="D273">
        <v>215</v>
      </c>
      <c r="E273" t="str">
        <f>IF(VLOOKUP(D273,Couleurs!A:B,2) = 0, "[" &amp; D273 &amp; "]",VLOOKUP(D273,Couleurs!A:B,2))</f>
        <v>VOLCANO</v>
      </c>
      <c r="F273" s="1" t="s">
        <v>231</v>
      </c>
      <c r="G273">
        <v>3</v>
      </c>
      <c r="H273" t="s">
        <v>1665</v>
      </c>
      <c r="I273" t="s">
        <v>2207</v>
      </c>
      <c r="J273">
        <f t="shared" si="8"/>
        <v>48.96</v>
      </c>
      <c r="K273" t="b">
        <f t="shared" si="9"/>
        <v>1</v>
      </c>
    </row>
    <row r="274" spans="2:11">
      <c r="B274">
        <v>270</v>
      </c>
      <c r="C274" t="s">
        <v>96</v>
      </c>
      <c r="D274">
        <v>479</v>
      </c>
      <c r="E274" t="str">
        <f>IF(VLOOKUP(D274,Couleurs!A:B,2) = 0, "[" &amp; D274 &amp; "]",VLOOKUP(D274,Couleurs!A:B,2))</f>
        <v>[479]</v>
      </c>
      <c r="F274" s="1" t="s">
        <v>231</v>
      </c>
      <c r="G274">
        <v>3</v>
      </c>
      <c r="H274" t="s">
        <v>1665</v>
      </c>
      <c r="I274" t="s">
        <v>2207</v>
      </c>
      <c r="J274">
        <f t="shared" si="8"/>
        <v>48.96</v>
      </c>
      <c r="K274" t="b">
        <f t="shared" si="9"/>
        <v>1</v>
      </c>
    </row>
    <row r="275" spans="2:11">
      <c r="B275">
        <v>271</v>
      </c>
      <c r="C275" t="s">
        <v>97</v>
      </c>
      <c r="D275">
        <v>61</v>
      </c>
      <c r="E275" t="str">
        <f>IF(VLOOKUP(D275,Couleurs!A:B,2) = 0, "[" &amp; D275 &amp; "]",VLOOKUP(D275,Couleurs!A:B,2))</f>
        <v>GOLD</v>
      </c>
      <c r="F275" s="1" t="s">
        <v>232</v>
      </c>
      <c r="G275">
        <v>2</v>
      </c>
      <c r="H275" t="s">
        <v>1623</v>
      </c>
      <c r="I275" t="s">
        <v>1666</v>
      </c>
      <c r="J275">
        <f t="shared" si="8"/>
        <v>40.08</v>
      </c>
      <c r="K275" t="b">
        <f t="shared" si="9"/>
        <v>1</v>
      </c>
    </row>
    <row r="276" spans="2:11">
      <c r="B276">
        <v>272</v>
      </c>
      <c r="C276" t="s">
        <v>98</v>
      </c>
      <c r="D276">
        <v>61</v>
      </c>
      <c r="E276" t="str">
        <f>IF(VLOOKUP(D276,Couleurs!A:B,2) = 0, "[" &amp; D276 &amp; "]",VLOOKUP(D276,Couleurs!A:B,2))</f>
        <v>GOLD</v>
      </c>
      <c r="F276" s="1" t="s">
        <v>233</v>
      </c>
      <c r="G276">
        <v>2</v>
      </c>
      <c r="H276" t="s">
        <v>1667</v>
      </c>
      <c r="I276" t="s">
        <v>1630</v>
      </c>
      <c r="J276">
        <f t="shared" si="8"/>
        <v>36.479999999999997</v>
      </c>
      <c r="K276" t="b">
        <f t="shared" si="9"/>
        <v>1</v>
      </c>
    </row>
    <row r="277" spans="2:11">
      <c r="B277">
        <v>273</v>
      </c>
      <c r="C277" t="s">
        <v>99</v>
      </c>
      <c r="D277">
        <v>227</v>
      </c>
      <c r="E277" t="str">
        <f>IF(VLOOKUP(D277,Couleurs!A:B,2) = 0, "[" &amp; D277 &amp; "]",VLOOKUP(D277,Couleurs!A:B,2))</f>
        <v>[227]</v>
      </c>
      <c r="F277" s="1" t="s">
        <v>234</v>
      </c>
      <c r="G277">
        <v>2</v>
      </c>
      <c r="H277" t="s">
        <v>1552</v>
      </c>
      <c r="I277" t="s">
        <v>1562</v>
      </c>
      <c r="J277">
        <f t="shared" si="8"/>
        <v>25.44</v>
      </c>
      <c r="K277" t="b">
        <f t="shared" si="9"/>
        <v>1</v>
      </c>
    </row>
    <row r="278" spans="2:11">
      <c r="B278">
        <v>274</v>
      </c>
      <c r="C278" t="s">
        <v>38</v>
      </c>
      <c r="D278">
        <v>481</v>
      </c>
      <c r="E278" t="str">
        <f>IF(VLOOKUP(D278,Couleurs!A:B,2) = 0, "[" &amp; D278 &amp; "]",VLOOKUP(D278,Couleurs!A:B,2))</f>
        <v>[481]</v>
      </c>
      <c r="F278" s="1" t="s">
        <v>174</v>
      </c>
      <c r="G278">
        <v>2</v>
      </c>
      <c r="H278" t="s">
        <v>1563</v>
      </c>
      <c r="I278" t="s">
        <v>1609</v>
      </c>
      <c r="J278">
        <f t="shared" si="8"/>
        <v>23.76</v>
      </c>
      <c r="K278" t="b">
        <f t="shared" si="9"/>
        <v>1</v>
      </c>
    </row>
    <row r="279" spans="2:11">
      <c r="B279">
        <v>275</v>
      </c>
      <c r="C279" t="s">
        <v>24</v>
      </c>
      <c r="D279">
        <v>26</v>
      </c>
      <c r="E279" t="str">
        <f>IF(VLOOKUP(D279,Couleurs!A:B,2) = 0, "[" &amp; D279 &amp; "]",VLOOKUP(D279,Couleurs!A:B,2))</f>
        <v>[26]</v>
      </c>
      <c r="F279" s="1" t="s">
        <v>157</v>
      </c>
      <c r="G279">
        <v>3</v>
      </c>
      <c r="H279" t="s">
        <v>1554</v>
      </c>
      <c r="I279" t="s">
        <v>1555</v>
      </c>
      <c r="J279">
        <f t="shared" si="8"/>
        <v>14.399999999999999</v>
      </c>
      <c r="K279" t="b">
        <f t="shared" si="9"/>
        <v>1</v>
      </c>
    </row>
    <row r="280" spans="2:11">
      <c r="B280">
        <v>276</v>
      </c>
      <c r="C280" t="s">
        <v>19</v>
      </c>
      <c r="D280">
        <v>76</v>
      </c>
      <c r="E280" t="str">
        <f>IF(VLOOKUP(D280,Couleurs!A:B,2) = 0, "[" &amp; D280 &amp; "]",VLOOKUP(D280,Couleurs!A:B,2))</f>
        <v>[76]</v>
      </c>
      <c r="F280" s="1" t="s">
        <v>152</v>
      </c>
      <c r="G280">
        <v>3</v>
      </c>
      <c r="H280" t="s">
        <v>1573</v>
      </c>
      <c r="I280" t="s">
        <v>1574</v>
      </c>
      <c r="J280">
        <f t="shared" si="8"/>
        <v>28.799999999999997</v>
      </c>
      <c r="K280" t="b">
        <f t="shared" si="9"/>
        <v>1</v>
      </c>
    </row>
    <row r="281" spans="2:11">
      <c r="B281">
        <v>277</v>
      </c>
      <c r="C281" t="s">
        <v>100</v>
      </c>
      <c r="D281">
        <v>55</v>
      </c>
      <c r="E281" t="str">
        <f>IF(VLOOKUP(D281,Couleurs!A:B,2) = 0, "[" &amp; D281 &amp; "]",VLOOKUP(D281,Couleurs!A:B,2))</f>
        <v>BLACK</v>
      </c>
      <c r="F281" s="1" t="s">
        <v>235</v>
      </c>
      <c r="G281">
        <v>3</v>
      </c>
      <c r="H281">
        <v>33</v>
      </c>
      <c r="I281">
        <v>99</v>
      </c>
      <c r="J281">
        <f t="shared" si="8"/>
        <v>99</v>
      </c>
      <c r="K281" t="b">
        <f t="shared" si="9"/>
        <v>1</v>
      </c>
    </row>
    <row r="282" spans="2:11">
      <c r="B282">
        <v>278</v>
      </c>
      <c r="C282" t="s">
        <v>1621</v>
      </c>
      <c r="D282">
        <v>55</v>
      </c>
      <c r="E282" t="str">
        <f>IF(VLOOKUP(D282,Couleurs!A:B,2) = 0, "[" &amp; D282 &amp; "]",VLOOKUP(D282,Couleurs!A:B,2))</f>
        <v>BLACK</v>
      </c>
      <c r="F282" s="1" t="s">
        <v>2187</v>
      </c>
      <c r="G282">
        <v>2</v>
      </c>
      <c r="H282" t="s">
        <v>1556</v>
      </c>
      <c r="I282" t="s">
        <v>1557</v>
      </c>
      <c r="J282">
        <f t="shared" si="8"/>
        <v>26.88</v>
      </c>
      <c r="K282" t="b">
        <f t="shared" si="9"/>
        <v>1</v>
      </c>
    </row>
    <row r="283" spans="2:11">
      <c r="B283">
        <v>279</v>
      </c>
      <c r="C283" t="s">
        <v>1668</v>
      </c>
      <c r="D283">
        <v>36</v>
      </c>
      <c r="E283" t="str">
        <f>IF(VLOOKUP(D283,Couleurs!A:B,2) = 0, "[" &amp; D283 &amp; "]",VLOOKUP(D283,Couleurs!A:B,2))</f>
        <v>[36]</v>
      </c>
      <c r="F283" s="1" t="s">
        <v>2208</v>
      </c>
      <c r="G283">
        <v>2</v>
      </c>
      <c r="H283" t="s">
        <v>1556</v>
      </c>
      <c r="I283" t="s">
        <v>1557</v>
      </c>
      <c r="J283">
        <f t="shared" si="8"/>
        <v>26.88</v>
      </c>
      <c r="K283" t="b">
        <f t="shared" si="9"/>
        <v>1</v>
      </c>
    </row>
    <row r="284" spans="2:11">
      <c r="B284">
        <v>280</v>
      </c>
      <c r="C284" t="s">
        <v>81</v>
      </c>
      <c r="D284">
        <v>408</v>
      </c>
      <c r="E284" t="str">
        <f>IF(VLOOKUP(D284,Couleurs!A:B,2) = 0, "[" &amp; D284 &amp; "]",VLOOKUP(D284,Couleurs!A:B,2))</f>
        <v>[408]</v>
      </c>
      <c r="F284" s="1" t="s">
        <v>216</v>
      </c>
      <c r="G284">
        <v>2</v>
      </c>
      <c r="H284" t="s">
        <v>1563</v>
      </c>
      <c r="I284" t="s">
        <v>1609</v>
      </c>
      <c r="J284">
        <f t="shared" si="8"/>
        <v>23.76</v>
      </c>
      <c r="K284" t="b">
        <f t="shared" si="9"/>
        <v>1</v>
      </c>
    </row>
    <row r="285" spans="2:11">
      <c r="B285">
        <v>281</v>
      </c>
      <c r="C285" t="s">
        <v>101</v>
      </c>
      <c r="D285">
        <v>55</v>
      </c>
      <c r="E285" t="str">
        <f>IF(VLOOKUP(D285,Couleurs!A:B,2) = 0, "[" &amp; D285 &amp; "]",VLOOKUP(D285,Couleurs!A:B,2))</f>
        <v>BLACK</v>
      </c>
      <c r="F285" s="1" t="s">
        <v>236</v>
      </c>
      <c r="G285">
        <v>2</v>
      </c>
      <c r="H285" t="s">
        <v>1552</v>
      </c>
      <c r="I285" t="s">
        <v>1562</v>
      </c>
      <c r="J285">
        <f t="shared" si="8"/>
        <v>25.44</v>
      </c>
      <c r="K285" t="b">
        <f t="shared" si="9"/>
        <v>1</v>
      </c>
    </row>
    <row r="286" spans="2:11">
      <c r="B286">
        <v>282</v>
      </c>
      <c r="C286" t="s">
        <v>51</v>
      </c>
      <c r="D286">
        <v>17</v>
      </c>
      <c r="E286" t="str">
        <f>IF(VLOOKUP(D286,Couleurs!A:B,2) = 0, "[" &amp; D286 &amp; "]",VLOOKUP(D286,Couleurs!A:B,2))</f>
        <v>NAVY BLUE</v>
      </c>
      <c r="F286" s="1" t="s">
        <v>187</v>
      </c>
      <c r="G286">
        <v>8</v>
      </c>
      <c r="H286" t="s">
        <v>1598</v>
      </c>
      <c r="I286" t="s">
        <v>1630</v>
      </c>
      <c r="J286">
        <f t="shared" si="8"/>
        <v>36.479999999999997</v>
      </c>
      <c r="K286" t="b">
        <f t="shared" si="9"/>
        <v>1</v>
      </c>
    </row>
    <row r="287" spans="2:11">
      <c r="B287">
        <v>283</v>
      </c>
      <c r="C287" t="s">
        <v>51</v>
      </c>
      <c r="D287">
        <v>17</v>
      </c>
      <c r="E287" t="str">
        <f>IF(VLOOKUP(D287,Couleurs!A:B,2) = 0, "[" &amp; D287 &amp; "]",VLOOKUP(D287,Couleurs!A:B,2))</f>
        <v>NAVY BLUE</v>
      </c>
      <c r="F287" s="1" t="s">
        <v>187</v>
      </c>
      <c r="G287">
        <v>6</v>
      </c>
      <c r="H287" t="s">
        <v>1598</v>
      </c>
      <c r="I287" t="s">
        <v>1640</v>
      </c>
      <c r="J287">
        <f t="shared" si="8"/>
        <v>27.36</v>
      </c>
      <c r="K287" t="b">
        <f t="shared" si="9"/>
        <v>1</v>
      </c>
    </row>
    <row r="288" spans="2:11">
      <c r="B288">
        <v>284</v>
      </c>
      <c r="C288" t="s">
        <v>51</v>
      </c>
      <c r="D288">
        <v>422</v>
      </c>
      <c r="E288" t="str">
        <f>IF(VLOOKUP(D288,Couleurs!A:B,2) = 0, "[" &amp; D288 &amp; "]",VLOOKUP(D288,Couleurs!A:B,2))</f>
        <v>SANGRIA</v>
      </c>
      <c r="F288" s="1" t="s">
        <v>187</v>
      </c>
      <c r="G288">
        <v>6</v>
      </c>
      <c r="H288" t="s">
        <v>1598</v>
      </c>
      <c r="I288" t="s">
        <v>1640</v>
      </c>
      <c r="J288">
        <f t="shared" si="8"/>
        <v>27.36</v>
      </c>
      <c r="K288" t="b">
        <f t="shared" si="9"/>
        <v>1</v>
      </c>
    </row>
    <row r="289" spans="2:11">
      <c r="B289">
        <v>285</v>
      </c>
      <c r="C289" t="s">
        <v>1651</v>
      </c>
      <c r="D289">
        <v>76</v>
      </c>
      <c r="E289" t="str">
        <f>IF(VLOOKUP(D289,Couleurs!A:B,2) = 0, "[" &amp; D289 &amp; "]",VLOOKUP(D289,Couleurs!A:B,2))</f>
        <v>[76]</v>
      </c>
      <c r="F289" s="1" t="s">
        <v>2199</v>
      </c>
      <c r="G289">
        <v>3</v>
      </c>
      <c r="H289" t="s">
        <v>1555</v>
      </c>
      <c r="I289" t="s">
        <v>1565</v>
      </c>
      <c r="J289">
        <f t="shared" si="8"/>
        <v>43.2</v>
      </c>
      <c r="K289" t="b">
        <f t="shared" si="9"/>
        <v>1</v>
      </c>
    </row>
    <row r="290" spans="2:11">
      <c r="B290">
        <v>286</v>
      </c>
      <c r="C290" t="s">
        <v>31</v>
      </c>
      <c r="D290">
        <v>347</v>
      </c>
      <c r="E290" t="str">
        <f>IF(VLOOKUP(D290,Couleurs!A:B,2) = 0, "[" &amp; D290 &amp; "]",VLOOKUP(D290,Couleurs!A:B,2))</f>
        <v>[347]</v>
      </c>
      <c r="F290" s="1" t="s">
        <v>167</v>
      </c>
      <c r="G290">
        <v>2</v>
      </c>
      <c r="H290" t="s">
        <v>1596</v>
      </c>
      <c r="I290" t="s">
        <v>1597</v>
      </c>
      <c r="J290">
        <f t="shared" si="8"/>
        <v>21.6</v>
      </c>
      <c r="K290" t="b">
        <f t="shared" si="9"/>
        <v>1</v>
      </c>
    </row>
    <row r="291" spans="2:11">
      <c r="B291">
        <v>287</v>
      </c>
      <c r="C291" t="s">
        <v>76</v>
      </c>
      <c r="D291">
        <v>55</v>
      </c>
      <c r="E291" t="str">
        <f>IF(VLOOKUP(D291,Couleurs!A:B,2) = 0, "[" &amp; D291 &amp; "]",VLOOKUP(D291,Couleurs!A:B,2))</f>
        <v>BLACK</v>
      </c>
      <c r="F291" s="1" t="s">
        <v>211</v>
      </c>
      <c r="G291">
        <v>2</v>
      </c>
      <c r="H291" t="s">
        <v>1563</v>
      </c>
      <c r="I291" t="s">
        <v>1609</v>
      </c>
      <c r="J291">
        <f t="shared" si="8"/>
        <v>23.76</v>
      </c>
      <c r="K291" t="b">
        <f t="shared" si="9"/>
        <v>1</v>
      </c>
    </row>
    <row r="292" spans="2:11">
      <c r="B292">
        <v>288</v>
      </c>
      <c r="C292" t="s">
        <v>6</v>
      </c>
      <c r="D292">
        <v>8</v>
      </c>
      <c r="E292" t="str">
        <f>IF(VLOOKUP(D292,Couleurs!A:B,2) = 0, "[" &amp; D292 &amp; "]",VLOOKUP(D292,Couleurs!A:B,2))</f>
        <v>WHITE</v>
      </c>
      <c r="F292" s="1" t="s">
        <v>142</v>
      </c>
      <c r="G292">
        <v>2</v>
      </c>
      <c r="H292" t="s">
        <v>1552</v>
      </c>
      <c r="I292" t="s">
        <v>1562</v>
      </c>
      <c r="J292">
        <f t="shared" si="8"/>
        <v>25.44</v>
      </c>
      <c r="K292" t="b">
        <f t="shared" si="9"/>
        <v>1</v>
      </c>
    </row>
    <row r="293" spans="2:11">
      <c r="B293">
        <v>289</v>
      </c>
      <c r="C293" t="s">
        <v>7</v>
      </c>
      <c r="D293">
        <v>36</v>
      </c>
      <c r="E293" t="str">
        <f>IF(VLOOKUP(D293,Couleurs!A:B,2) = 0, "[" &amp; D293 &amp; "]",VLOOKUP(D293,Couleurs!A:B,2))</f>
        <v>[36]</v>
      </c>
      <c r="F293" s="1" t="s">
        <v>143</v>
      </c>
      <c r="G293">
        <v>4</v>
      </c>
      <c r="H293" t="s">
        <v>1563</v>
      </c>
      <c r="I293" t="s">
        <v>1586</v>
      </c>
      <c r="J293">
        <f t="shared" si="8"/>
        <v>47.52</v>
      </c>
      <c r="K293" t="b">
        <f t="shared" si="9"/>
        <v>1</v>
      </c>
    </row>
    <row r="294" spans="2:11">
      <c r="B294">
        <v>290</v>
      </c>
      <c r="C294" t="s">
        <v>55</v>
      </c>
      <c r="D294">
        <v>76</v>
      </c>
      <c r="E294" t="str">
        <f>IF(VLOOKUP(D294,Couleurs!A:B,2) = 0, "[" &amp; D294 &amp; "]",VLOOKUP(D294,Couleurs!A:B,2))</f>
        <v>[76]</v>
      </c>
      <c r="F294" s="1" t="s">
        <v>191</v>
      </c>
      <c r="G294">
        <v>3</v>
      </c>
      <c r="H294" t="s">
        <v>1570</v>
      </c>
      <c r="I294" t="s">
        <v>1571</v>
      </c>
      <c r="J294">
        <f t="shared" si="8"/>
        <v>25.200000000000003</v>
      </c>
      <c r="K294" t="b">
        <f t="shared" si="9"/>
        <v>1</v>
      </c>
    </row>
    <row r="295" spans="2:11">
      <c r="B295">
        <v>291</v>
      </c>
      <c r="C295" t="s">
        <v>55</v>
      </c>
      <c r="D295">
        <v>347</v>
      </c>
      <c r="E295" t="str">
        <f>IF(VLOOKUP(D295,Couleurs!A:B,2) = 0, "[" &amp; D295 &amp; "]",VLOOKUP(D295,Couleurs!A:B,2))</f>
        <v>[347]</v>
      </c>
      <c r="F295" s="1" t="s">
        <v>191</v>
      </c>
      <c r="G295">
        <v>3</v>
      </c>
      <c r="H295" t="s">
        <v>1570</v>
      </c>
      <c r="I295" t="s">
        <v>1571</v>
      </c>
      <c r="J295">
        <f t="shared" si="8"/>
        <v>25.200000000000003</v>
      </c>
      <c r="K295" t="b">
        <f t="shared" si="9"/>
        <v>1</v>
      </c>
    </row>
    <row r="296" spans="2:11">
      <c r="B296">
        <v>292</v>
      </c>
      <c r="C296" t="s">
        <v>102</v>
      </c>
      <c r="D296">
        <v>487</v>
      </c>
      <c r="E296" t="str">
        <f>IF(VLOOKUP(D296,Couleurs!A:B,2) = 0, "[" &amp; D296 &amp; "]",VLOOKUP(D296,Couleurs!A:B,2))</f>
        <v>[487]</v>
      </c>
      <c r="F296" s="1" t="s">
        <v>237</v>
      </c>
      <c r="G296">
        <v>3</v>
      </c>
      <c r="H296">
        <v>9</v>
      </c>
      <c r="I296">
        <v>27</v>
      </c>
      <c r="J296">
        <f t="shared" si="8"/>
        <v>27</v>
      </c>
      <c r="K296" t="b">
        <f t="shared" si="9"/>
        <v>1</v>
      </c>
    </row>
    <row r="297" spans="2:11">
      <c r="B297">
        <v>293</v>
      </c>
      <c r="C297" t="s">
        <v>2</v>
      </c>
      <c r="D297">
        <v>26</v>
      </c>
      <c r="E297" t="str">
        <f>IF(VLOOKUP(D297,Couleurs!A:B,2) = 0, "[" &amp; D297 &amp; "]",VLOOKUP(D297,Couleurs!A:B,2))</f>
        <v>[26]</v>
      </c>
      <c r="F297" s="1" t="s">
        <v>138</v>
      </c>
      <c r="G297">
        <v>3</v>
      </c>
      <c r="H297" t="s">
        <v>1554</v>
      </c>
      <c r="I297" t="s">
        <v>1555</v>
      </c>
      <c r="J297">
        <f t="shared" si="8"/>
        <v>14.399999999999999</v>
      </c>
      <c r="K297" t="b">
        <f t="shared" si="9"/>
        <v>1</v>
      </c>
    </row>
    <row r="298" spans="2:11">
      <c r="B298">
        <v>294</v>
      </c>
      <c r="C298" t="s">
        <v>58</v>
      </c>
      <c r="D298">
        <v>17</v>
      </c>
      <c r="E298" t="str">
        <f>IF(VLOOKUP(D298,Couleurs!A:B,2) = 0, "[" &amp; D298 &amp; "]",VLOOKUP(D298,Couleurs!A:B,2))</f>
        <v>NAVY BLUE</v>
      </c>
      <c r="F298" s="1" t="s">
        <v>194</v>
      </c>
      <c r="G298">
        <v>2</v>
      </c>
      <c r="H298" t="s">
        <v>1596</v>
      </c>
      <c r="I298" t="s">
        <v>1597</v>
      </c>
      <c r="J298">
        <f t="shared" si="8"/>
        <v>21.6</v>
      </c>
      <c r="K298" t="b">
        <f t="shared" si="9"/>
        <v>1</v>
      </c>
    </row>
    <row r="299" spans="2:11">
      <c r="B299">
        <v>295</v>
      </c>
      <c r="C299" t="s">
        <v>15</v>
      </c>
      <c r="D299">
        <v>130</v>
      </c>
      <c r="E299" t="str">
        <f>IF(VLOOKUP(D299,Couleurs!A:B,2) = 0, "[" &amp; D299 &amp; "]",VLOOKUP(D299,Couleurs!A:B,2))</f>
        <v>[130]</v>
      </c>
      <c r="F299" s="1" t="s">
        <v>166</v>
      </c>
      <c r="G299">
        <v>2</v>
      </c>
      <c r="H299" t="s">
        <v>1594</v>
      </c>
      <c r="I299" t="s">
        <v>1595</v>
      </c>
      <c r="J299">
        <f t="shared" si="8"/>
        <v>19.559999999999999</v>
      </c>
      <c r="K299" t="b">
        <f t="shared" si="9"/>
        <v>1</v>
      </c>
    </row>
    <row r="300" spans="2:11">
      <c r="B300">
        <v>296</v>
      </c>
      <c r="C300" t="s">
        <v>1669</v>
      </c>
      <c r="D300">
        <v>478</v>
      </c>
      <c r="E300" t="str">
        <f>IF(VLOOKUP(D300,Couleurs!A:B,2) = 0, "[" &amp; D300 &amp; "]",VLOOKUP(D300,Couleurs!A:B,2))</f>
        <v>[478]</v>
      </c>
      <c r="F300" s="1" t="s">
        <v>2209</v>
      </c>
      <c r="G300">
        <v>4</v>
      </c>
      <c r="H300" t="s">
        <v>1584</v>
      </c>
      <c r="I300" t="s">
        <v>2179</v>
      </c>
      <c r="J300">
        <f t="shared" si="8"/>
        <v>28.32</v>
      </c>
      <c r="K300" t="b">
        <f t="shared" si="9"/>
        <v>1</v>
      </c>
    </row>
    <row r="301" spans="2:11">
      <c r="B301">
        <v>297</v>
      </c>
      <c r="C301" t="s">
        <v>88</v>
      </c>
      <c r="D301">
        <v>371</v>
      </c>
      <c r="E301" t="str">
        <f>IF(VLOOKUP(D301,Couleurs!A:B,2) = 0, "[" &amp; D301 &amp; "]",VLOOKUP(D301,Couleurs!A:B,2))</f>
        <v>MILK</v>
      </c>
      <c r="F301" s="1" t="s">
        <v>223</v>
      </c>
      <c r="G301">
        <v>2</v>
      </c>
      <c r="H301">
        <v>24</v>
      </c>
      <c r="I301">
        <v>48</v>
      </c>
      <c r="J301">
        <f t="shared" si="8"/>
        <v>48</v>
      </c>
      <c r="K301" t="b">
        <f t="shared" si="9"/>
        <v>1</v>
      </c>
    </row>
    <row r="302" spans="2:11">
      <c r="B302">
        <v>298</v>
      </c>
      <c r="C302" t="s">
        <v>103</v>
      </c>
      <c r="D302">
        <v>479</v>
      </c>
      <c r="E302" t="str">
        <f>IF(VLOOKUP(D302,Couleurs!A:B,2) = 0, "[" &amp; D302 &amp; "]",VLOOKUP(D302,Couleurs!A:B,2))</f>
        <v>[479]</v>
      </c>
      <c r="F302" s="1" t="s">
        <v>238</v>
      </c>
      <c r="G302">
        <v>2</v>
      </c>
      <c r="H302" t="s">
        <v>1587</v>
      </c>
      <c r="I302" t="s">
        <v>1670</v>
      </c>
      <c r="J302">
        <f t="shared" si="8"/>
        <v>58.8</v>
      </c>
      <c r="K302" t="b">
        <f t="shared" si="9"/>
        <v>1</v>
      </c>
    </row>
    <row r="303" spans="2:11">
      <c r="B303">
        <v>299</v>
      </c>
      <c r="C303" t="s">
        <v>104</v>
      </c>
      <c r="D303">
        <v>61</v>
      </c>
      <c r="E303" t="str">
        <f>IF(VLOOKUP(D303,Couleurs!A:B,2) = 0, "[" &amp; D303 &amp; "]",VLOOKUP(D303,Couleurs!A:B,2))</f>
        <v>GOLD</v>
      </c>
      <c r="F303" s="1" t="s">
        <v>239</v>
      </c>
      <c r="G303">
        <v>2</v>
      </c>
      <c r="H303" t="s">
        <v>1564</v>
      </c>
      <c r="I303" t="s">
        <v>1569</v>
      </c>
      <c r="J303">
        <f t="shared" si="8"/>
        <v>31.2</v>
      </c>
      <c r="K303" t="b">
        <f t="shared" si="9"/>
        <v>1</v>
      </c>
    </row>
    <row r="304" spans="2:11">
      <c r="B304">
        <v>300</v>
      </c>
      <c r="C304" t="s">
        <v>73</v>
      </c>
      <c r="D304">
        <v>215</v>
      </c>
      <c r="E304" t="str">
        <f>IF(VLOOKUP(D304,Couleurs!A:B,2) = 0, "[" &amp; D304 &amp; "]",VLOOKUP(D304,Couleurs!A:B,2))</f>
        <v>VOLCANO</v>
      </c>
      <c r="F304" s="1" t="s">
        <v>209</v>
      </c>
      <c r="G304">
        <v>3</v>
      </c>
      <c r="H304" t="s">
        <v>1645</v>
      </c>
      <c r="I304" t="s">
        <v>1646</v>
      </c>
      <c r="J304">
        <f t="shared" si="8"/>
        <v>65.88</v>
      </c>
      <c r="K304" t="b">
        <f t="shared" si="9"/>
        <v>1</v>
      </c>
    </row>
    <row r="305" spans="2:11">
      <c r="B305">
        <v>301</v>
      </c>
      <c r="C305" t="s">
        <v>18</v>
      </c>
      <c r="D305">
        <v>479</v>
      </c>
      <c r="E305" t="str">
        <f>IF(VLOOKUP(D305,Couleurs!A:B,2) = 0, "[" &amp; D305 &amp; "]",VLOOKUP(D305,Couleurs!A:B,2))</f>
        <v>[479]</v>
      </c>
      <c r="F305" s="1" t="s">
        <v>151</v>
      </c>
      <c r="G305">
        <v>2</v>
      </c>
      <c r="H305" t="s">
        <v>1572</v>
      </c>
      <c r="I305" t="s">
        <v>1556</v>
      </c>
      <c r="J305">
        <f t="shared" si="8"/>
        <v>13.44</v>
      </c>
      <c r="K305" t="b">
        <f t="shared" si="9"/>
        <v>1</v>
      </c>
    </row>
    <row r="306" spans="2:11">
      <c r="B306">
        <v>302</v>
      </c>
      <c r="C306" t="s">
        <v>22</v>
      </c>
      <c r="D306">
        <v>71</v>
      </c>
      <c r="E306" t="str">
        <f>IF(VLOOKUP(D306,Couleurs!A:B,2) = 0, "[" &amp; D306 &amp; "]",VLOOKUP(D306,Couleurs!A:B,2))</f>
        <v>ROCK</v>
      </c>
      <c r="F306" s="1" t="s">
        <v>155</v>
      </c>
      <c r="G306">
        <v>1</v>
      </c>
      <c r="H306" t="s">
        <v>1555</v>
      </c>
      <c r="I306" t="s">
        <v>1555</v>
      </c>
      <c r="J306">
        <f t="shared" si="8"/>
        <v>14.4</v>
      </c>
      <c r="K306" t="b">
        <f t="shared" si="9"/>
        <v>1</v>
      </c>
    </row>
    <row r="307" spans="2:11">
      <c r="B307">
        <v>303</v>
      </c>
      <c r="C307" t="s">
        <v>23</v>
      </c>
      <c r="D307">
        <v>55</v>
      </c>
      <c r="E307" t="str">
        <f>IF(VLOOKUP(D307,Couleurs!A:B,2) = 0, "[" &amp; D307 &amp; "]",VLOOKUP(D307,Couleurs!A:B,2))</f>
        <v>BLACK</v>
      </c>
      <c r="F307" s="1" t="s">
        <v>156</v>
      </c>
      <c r="G307">
        <v>1</v>
      </c>
      <c r="H307" t="s">
        <v>1575</v>
      </c>
      <c r="I307" t="s">
        <v>1575</v>
      </c>
      <c r="J307">
        <f t="shared" si="8"/>
        <v>13.08</v>
      </c>
      <c r="K307" t="b">
        <f t="shared" si="9"/>
        <v>1</v>
      </c>
    </row>
    <row r="308" spans="2:11">
      <c r="B308">
        <v>304</v>
      </c>
      <c r="C308" t="s">
        <v>21</v>
      </c>
      <c r="D308">
        <v>38</v>
      </c>
      <c r="E308" t="str">
        <f>IF(VLOOKUP(D308,Couleurs!A:B,2) = 0, "[" &amp; D308 &amp; "]",VLOOKUP(D308,Couleurs!A:B,2))</f>
        <v>[38]</v>
      </c>
      <c r="F308" s="1" t="s">
        <v>154</v>
      </c>
      <c r="G308">
        <v>2</v>
      </c>
      <c r="H308" t="s">
        <v>1555</v>
      </c>
      <c r="I308" t="s">
        <v>1574</v>
      </c>
      <c r="J308">
        <f t="shared" si="8"/>
        <v>28.8</v>
      </c>
      <c r="K308" t="b">
        <f t="shared" si="9"/>
        <v>1</v>
      </c>
    </row>
    <row r="309" spans="2:11">
      <c r="B309">
        <v>305</v>
      </c>
      <c r="C309" t="s">
        <v>22</v>
      </c>
      <c r="D309">
        <v>75</v>
      </c>
      <c r="E309" t="str">
        <f>IF(VLOOKUP(D309,Couleurs!A:B,2) = 0, "[" &amp; D309 &amp; "]",VLOOKUP(D309,Couleurs!A:B,2))</f>
        <v>[75]</v>
      </c>
      <c r="F309" s="1" t="s">
        <v>155</v>
      </c>
      <c r="G309">
        <v>2</v>
      </c>
      <c r="H309" t="s">
        <v>1555</v>
      </c>
      <c r="I309" t="s">
        <v>1574</v>
      </c>
      <c r="J309">
        <f t="shared" si="8"/>
        <v>28.8</v>
      </c>
      <c r="K309" t="b">
        <f t="shared" si="9"/>
        <v>1</v>
      </c>
    </row>
    <row r="310" spans="2:11">
      <c r="B310">
        <v>306</v>
      </c>
      <c r="C310" t="s">
        <v>1610</v>
      </c>
      <c r="D310">
        <v>422</v>
      </c>
      <c r="E310" t="str">
        <f>IF(VLOOKUP(D310,Couleurs!A:B,2) = 0, "[" &amp; D310 &amp; "]",VLOOKUP(D310,Couleurs!A:B,2))</f>
        <v>SANGRIA</v>
      </c>
      <c r="F310" s="1" t="s">
        <v>1611</v>
      </c>
      <c r="G310">
        <v>3</v>
      </c>
      <c r="H310" t="s">
        <v>1563</v>
      </c>
      <c r="I310" t="s">
        <v>1580</v>
      </c>
      <c r="J310">
        <f t="shared" si="8"/>
        <v>35.64</v>
      </c>
      <c r="K310" t="b">
        <f t="shared" si="9"/>
        <v>1</v>
      </c>
    </row>
    <row r="311" spans="2:11">
      <c r="B311">
        <v>307</v>
      </c>
      <c r="C311" t="s">
        <v>23</v>
      </c>
      <c r="D311">
        <v>26</v>
      </c>
      <c r="E311" t="str">
        <f>IF(VLOOKUP(D311,Couleurs!A:B,2) = 0, "[" &amp; D311 &amp; "]",VLOOKUP(D311,Couleurs!A:B,2))</f>
        <v>[26]</v>
      </c>
      <c r="F311" s="1" t="s">
        <v>156</v>
      </c>
      <c r="G311">
        <v>2</v>
      </c>
      <c r="H311" t="s">
        <v>1575</v>
      </c>
      <c r="I311" t="s">
        <v>1578</v>
      </c>
      <c r="J311">
        <f t="shared" si="8"/>
        <v>26.16</v>
      </c>
      <c r="K311" t="b">
        <f t="shared" si="9"/>
        <v>1</v>
      </c>
    </row>
    <row r="312" spans="2:11">
      <c r="B312">
        <v>308</v>
      </c>
      <c r="C312" t="s">
        <v>1579</v>
      </c>
      <c r="D312">
        <v>371</v>
      </c>
      <c r="E312" t="str">
        <f>IF(VLOOKUP(D312,Couleurs!A:B,2) = 0, "[" &amp; D312 &amp; "]",VLOOKUP(D312,Couleurs!A:B,2))</f>
        <v>MILK</v>
      </c>
      <c r="F312" s="1" t="s">
        <v>2176</v>
      </c>
      <c r="G312">
        <v>2</v>
      </c>
      <c r="H312" t="s">
        <v>1563</v>
      </c>
      <c r="I312" t="s">
        <v>1609</v>
      </c>
      <c r="J312">
        <f t="shared" si="8"/>
        <v>23.76</v>
      </c>
      <c r="K312" t="b">
        <f t="shared" si="9"/>
        <v>1</v>
      </c>
    </row>
    <row r="313" spans="2:11">
      <c r="B313">
        <v>309</v>
      </c>
      <c r="C313" t="s">
        <v>21</v>
      </c>
      <c r="D313">
        <v>26</v>
      </c>
      <c r="E313" t="str">
        <f>IF(VLOOKUP(D313,Couleurs!A:B,2) = 0, "[" &amp; D313 &amp; "]",VLOOKUP(D313,Couleurs!A:B,2))</f>
        <v>[26]</v>
      </c>
      <c r="F313" s="1" t="s">
        <v>154</v>
      </c>
      <c r="G313">
        <v>3</v>
      </c>
      <c r="H313" t="s">
        <v>1555</v>
      </c>
      <c r="I313" t="s">
        <v>1565</v>
      </c>
      <c r="J313">
        <f t="shared" si="8"/>
        <v>43.2</v>
      </c>
      <c r="K313" t="b">
        <f t="shared" si="9"/>
        <v>1</v>
      </c>
    </row>
    <row r="314" spans="2:11">
      <c r="B314">
        <v>310</v>
      </c>
      <c r="C314" t="s">
        <v>1603</v>
      </c>
      <c r="D314">
        <v>76</v>
      </c>
      <c r="E314" t="str">
        <f>IF(VLOOKUP(D314,Couleurs!A:B,2) = 0, "[" &amp; D314 &amp; "]",VLOOKUP(D314,Couleurs!A:B,2))</f>
        <v>[76]</v>
      </c>
      <c r="F314" s="1" t="s">
        <v>1604</v>
      </c>
      <c r="G314">
        <v>2</v>
      </c>
      <c r="H314" t="s">
        <v>1605</v>
      </c>
      <c r="I314" t="s">
        <v>1606</v>
      </c>
      <c r="J314">
        <f t="shared" si="8"/>
        <v>27.84</v>
      </c>
      <c r="K314" t="b">
        <f t="shared" si="9"/>
        <v>1</v>
      </c>
    </row>
    <row r="315" spans="2:11">
      <c r="B315">
        <v>311</v>
      </c>
      <c r="C315" t="s">
        <v>26</v>
      </c>
      <c r="D315">
        <v>479</v>
      </c>
      <c r="E315" t="str">
        <f>IF(VLOOKUP(D315,Couleurs!A:B,2) = 0, "[" &amp; D315 &amp; "]",VLOOKUP(D315,Couleurs!A:B,2))</f>
        <v>[479]</v>
      </c>
      <c r="F315" s="1" t="s">
        <v>159</v>
      </c>
      <c r="G315">
        <v>3</v>
      </c>
      <c r="H315" t="s">
        <v>1555</v>
      </c>
      <c r="I315" t="s">
        <v>1565</v>
      </c>
      <c r="J315">
        <f t="shared" si="8"/>
        <v>43.2</v>
      </c>
      <c r="K315" t="b">
        <f t="shared" si="9"/>
        <v>1</v>
      </c>
    </row>
    <row r="316" spans="2:11">
      <c r="B316">
        <v>312</v>
      </c>
      <c r="C316" t="s">
        <v>27</v>
      </c>
      <c r="D316">
        <v>8</v>
      </c>
      <c r="E316" t="str">
        <f>IF(VLOOKUP(D316,Couleurs!A:B,2) = 0, "[" &amp; D316 &amp; "]",VLOOKUP(D316,Couleurs!A:B,2))</f>
        <v>WHITE</v>
      </c>
      <c r="F316" s="1" t="s">
        <v>160</v>
      </c>
      <c r="G316">
        <v>6</v>
      </c>
      <c r="H316" t="s">
        <v>1581</v>
      </c>
      <c r="I316" t="s">
        <v>1582</v>
      </c>
      <c r="J316">
        <f t="shared" si="8"/>
        <v>11.52</v>
      </c>
      <c r="K316" t="b">
        <f t="shared" si="9"/>
        <v>1</v>
      </c>
    </row>
    <row r="317" spans="2:11">
      <c r="B317">
        <v>313</v>
      </c>
      <c r="C317" t="s">
        <v>27</v>
      </c>
      <c r="D317">
        <v>63</v>
      </c>
      <c r="E317" t="str">
        <f>IF(VLOOKUP(D317,Couleurs!A:B,2) = 0, "[" &amp; D317 &amp; "]",VLOOKUP(D317,Couleurs!A:B,2))</f>
        <v>[63]</v>
      </c>
      <c r="F317" s="1" t="s">
        <v>160</v>
      </c>
      <c r="G317">
        <v>6</v>
      </c>
      <c r="H317" t="s">
        <v>1581</v>
      </c>
      <c r="I317" t="s">
        <v>1582</v>
      </c>
      <c r="J317">
        <f t="shared" si="8"/>
        <v>11.52</v>
      </c>
      <c r="K317" t="b">
        <f t="shared" si="9"/>
        <v>1</v>
      </c>
    </row>
    <row r="318" spans="2:11">
      <c r="B318">
        <v>314</v>
      </c>
      <c r="C318" t="s">
        <v>35</v>
      </c>
      <c r="D318">
        <v>63</v>
      </c>
      <c r="E318" t="str">
        <f>IF(VLOOKUP(D318,Couleurs!A:B,2) = 0, "[" &amp; D318 &amp; "]",VLOOKUP(D318,Couleurs!A:B,2))</f>
        <v>[63]</v>
      </c>
      <c r="F318" s="1" t="s">
        <v>171</v>
      </c>
      <c r="G318">
        <v>6</v>
      </c>
      <c r="H318" t="s">
        <v>1612</v>
      </c>
      <c r="I318" t="s">
        <v>1613</v>
      </c>
      <c r="J318">
        <f t="shared" si="8"/>
        <v>15.120000000000001</v>
      </c>
      <c r="K318" t="b">
        <f t="shared" si="9"/>
        <v>1</v>
      </c>
    </row>
    <row r="319" spans="2:11">
      <c r="B319">
        <v>315</v>
      </c>
      <c r="C319" t="s">
        <v>35</v>
      </c>
      <c r="D319">
        <v>422</v>
      </c>
      <c r="E319" t="str">
        <f>IF(VLOOKUP(D319,Couleurs!A:B,2) = 0, "[" &amp; D319 &amp; "]",VLOOKUP(D319,Couleurs!A:B,2))</f>
        <v>SANGRIA</v>
      </c>
      <c r="F319" s="1" t="s">
        <v>171</v>
      </c>
      <c r="G319">
        <v>6</v>
      </c>
      <c r="H319" t="s">
        <v>1612</v>
      </c>
      <c r="I319" t="s">
        <v>1613</v>
      </c>
      <c r="J319">
        <f t="shared" si="8"/>
        <v>15.120000000000001</v>
      </c>
      <c r="K319" t="b">
        <f t="shared" si="9"/>
        <v>1</v>
      </c>
    </row>
    <row r="320" spans="2:11">
      <c r="B320">
        <v>316</v>
      </c>
      <c r="C320" t="s">
        <v>10</v>
      </c>
      <c r="D320">
        <v>17</v>
      </c>
      <c r="E320" t="str">
        <f>IF(VLOOKUP(D320,Couleurs!A:B,2) = 0, "[" &amp; D320 &amp; "]",VLOOKUP(D320,Couleurs!A:B,2))</f>
        <v>NAVY BLUE</v>
      </c>
      <c r="F320" s="1" t="s">
        <v>146</v>
      </c>
      <c r="G320">
        <v>6</v>
      </c>
      <c r="H320" t="s">
        <v>1566</v>
      </c>
      <c r="I320" t="s">
        <v>1565</v>
      </c>
      <c r="J320">
        <f t="shared" si="8"/>
        <v>43.2</v>
      </c>
      <c r="K320" t="b">
        <f t="shared" si="9"/>
        <v>1</v>
      </c>
    </row>
    <row r="321" spans="2:11">
      <c r="B321">
        <v>317</v>
      </c>
      <c r="C321" t="s">
        <v>29</v>
      </c>
      <c r="D321">
        <v>55</v>
      </c>
      <c r="E321" t="str">
        <f>IF(VLOOKUP(D321,Couleurs!A:B,2) = 0, "[" &amp; D321 &amp; "]",VLOOKUP(D321,Couleurs!A:B,2))</f>
        <v>BLACK</v>
      </c>
      <c r="F321" s="1" t="s">
        <v>162</v>
      </c>
      <c r="G321">
        <v>2</v>
      </c>
      <c r="H321" t="s">
        <v>1584</v>
      </c>
      <c r="I321" t="s">
        <v>1589</v>
      </c>
      <c r="J321">
        <f t="shared" si="8"/>
        <v>14.16</v>
      </c>
      <c r="K321" t="b">
        <f t="shared" si="9"/>
        <v>1</v>
      </c>
    </row>
    <row r="322" spans="2:11">
      <c r="B322">
        <v>318</v>
      </c>
      <c r="C322" t="s">
        <v>105</v>
      </c>
      <c r="D322">
        <v>125</v>
      </c>
      <c r="E322" t="str">
        <f>IF(VLOOKUP(D322,Couleurs!A:B,2) = 0, "[" &amp; D322 &amp; "]",VLOOKUP(D322,Couleurs!A:B,2))</f>
        <v>[125]</v>
      </c>
      <c r="F322" s="1" t="s">
        <v>240</v>
      </c>
      <c r="G322">
        <v>2</v>
      </c>
      <c r="H322" t="s">
        <v>1596</v>
      </c>
      <c r="I322" t="s">
        <v>1597</v>
      </c>
      <c r="J322">
        <f t="shared" si="8"/>
        <v>21.6</v>
      </c>
      <c r="K322" t="b">
        <f t="shared" si="9"/>
        <v>1</v>
      </c>
    </row>
    <row r="323" spans="2:11">
      <c r="B323">
        <v>319</v>
      </c>
      <c r="C323" t="s">
        <v>1671</v>
      </c>
      <c r="D323">
        <v>475</v>
      </c>
      <c r="E323" t="str">
        <f>IF(VLOOKUP(D323,Couleurs!A:B,2) = 0, "[" &amp; D323 &amp; "]",VLOOKUP(D323,Couleurs!A:B,2))</f>
        <v>[475]</v>
      </c>
      <c r="F323" s="1" t="s">
        <v>2210</v>
      </c>
      <c r="G323">
        <v>2</v>
      </c>
      <c r="H323" t="s">
        <v>1552</v>
      </c>
      <c r="I323" t="s">
        <v>1562</v>
      </c>
      <c r="J323">
        <f t="shared" si="8"/>
        <v>25.44</v>
      </c>
      <c r="K323" t="b">
        <f t="shared" si="9"/>
        <v>1</v>
      </c>
    </row>
    <row r="324" spans="2:11">
      <c r="B324">
        <v>320</v>
      </c>
      <c r="C324" t="s">
        <v>32</v>
      </c>
      <c r="D324">
        <v>75</v>
      </c>
      <c r="E324" t="str">
        <f>IF(VLOOKUP(D324,Couleurs!A:B,2) = 0, "[" &amp; D324 &amp; "]",VLOOKUP(D324,Couleurs!A:B,2))</f>
        <v>[75]</v>
      </c>
      <c r="F324" s="1" t="s">
        <v>168</v>
      </c>
      <c r="G324">
        <v>2</v>
      </c>
      <c r="H324" t="s">
        <v>1598</v>
      </c>
      <c r="I324" t="s">
        <v>1599</v>
      </c>
      <c r="J324">
        <f t="shared" si="8"/>
        <v>9.1199999999999992</v>
      </c>
      <c r="K324" t="b">
        <f t="shared" si="9"/>
        <v>1</v>
      </c>
    </row>
    <row r="325" spans="2:11">
      <c r="B325">
        <v>321</v>
      </c>
      <c r="C325" t="s">
        <v>25</v>
      </c>
      <c r="D325">
        <v>479</v>
      </c>
      <c r="E325" t="str">
        <f>IF(VLOOKUP(D325,Couleurs!A:B,2) = 0, "[" &amp; D325 &amp; "]",VLOOKUP(D325,Couleurs!A:B,2))</f>
        <v>[479]</v>
      </c>
      <c r="F325" s="1" t="s">
        <v>158</v>
      </c>
      <c r="G325">
        <v>2</v>
      </c>
      <c r="H325" t="s">
        <v>1576</v>
      </c>
      <c r="I325" t="s">
        <v>1571</v>
      </c>
      <c r="J325">
        <f t="shared" ref="J325:J388" si="10">G325*H325</f>
        <v>25.2</v>
      </c>
      <c r="K325" t="b">
        <f t="shared" ref="K325:K388" si="11">(0+I325)=J325</f>
        <v>1</v>
      </c>
    </row>
    <row r="326" spans="2:11">
      <c r="B326">
        <v>322</v>
      </c>
      <c r="C326" t="s">
        <v>49</v>
      </c>
      <c r="D326">
        <v>76</v>
      </c>
      <c r="E326" t="str">
        <f>IF(VLOOKUP(D326,Couleurs!A:B,2) = 0, "[" &amp; D326 &amp; "]",VLOOKUP(D326,Couleurs!A:B,2))</f>
        <v>[76]</v>
      </c>
      <c r="F326" s="1" t="s">
        <v>185</v>
      </c>
      <c r="G326">
        <v>3</v>
      </c>
      <c r="H326" t="s">
        <v>1584</v>
      </c>
      <c r="I326" t="s">
        <v>1585</v>
      </c>
      <c r="J326">
        <f t="shared" si="10"/>
        <v>21.240000000000002</v>
      </c>
      <c r="K326" t="b">
        <f t="shared" si="11"/>
        <v>1</v>
      </c>
    </row>
    <row r="327" spans="2:11">
      <c r="B327">
        <v>323</v>
      </c>
      <c r="C327" t="s">
        <v>1672</v>
      </c>
      <c r="D327">
        <v>17</v>
      </c>
      <c r="E327" t="str">
        <f>IF(VLOOKUP(D327,Couleurs!A:B,2) = 0, "[" &amp; D327 &amp; "]",VLOOKUP(D327,Couleurs!A:B,2))</f>
        <v>NAVY BLUE</v>
      </c>
      <c r="F327" s="1" t="s">
        <v>1673</v>
      </c>
      <c r="G327">
        <v>2</v>
      </c>
      <c r="H327" t="s">
        <v>1563</v>
      </c>
      <c r="I327" t="s">
        <v>1609</v>
      </c>
      <c r="J327">
        <f t="shared" si="10"/>
        <v>23.76</v>
      </c>
      <c r="K327" t="b">
        <f t="shared" si="11"/>
        <v>1</v>
      </c>
    </row>
    <row r="328" spans="2:11">
      <c r="B328">
        <v>324</v>
      </c>
      <c r="C328" t="s">
        <v>96</v>
      </c>
      <c r="D328">
        <v>75</v>
      </c>
      <c r="E328" t="str">
        <f>IF(VLOOKUP(D328,Couleurs!A:B,2) = 0, "[" &amp; D328 &amp; "]",VLOOKUP(D328,Couleurs!A:B,2))</f>
        <v>[75]</v>
      </c>
      <c r="F328" s="1" t="s">
        <v>231</v>
      </c>
      <c r="G328">
        <v>3</v>
      </c>
      <c r="H328" t="s">
        <v>1665</v>
      </c>
      <c r="I328" t="s">
        <v>2207</v>
      </c>
      <c r="J328">
        <f t="shared" si="10"/>
        <v>48.96</v>
      </c>
      <c r="K328" t="b">
        <f t="shared" si="11"/>
        <v>1</v>
      </c>
    </row>
    <row r="329" spans="2:11">
      <c r="B329">
        <v>325</v>
      </c>
      <c r="C329" t="s">
        <v>1610</v>
      </c>
      <c r="D329">
        <v>479</v>
      </c>
      <c r="E329" t="str">
        <f>IF(VLOOKUP(D329,Couleurs!A:B,2) = 0, "[" &amp; D329 &amp; "]",VLOOKUP(D329,Couleurs!A:B,2))</f>
        <v>[479]</v>
      </c>
      <c r="F329" s="1" t="s">
        <v>1611</v>
      </c>
      <c r="G329">
        <v>3</v>
      </c>
      <c r="H329" t="s">
        <v>1563</v>
      </c>
      <c r="I329" t="s">
        <v>1580</v>
      </c>
      <c r="J329">
        <f t="shared" si="10"/>
        <v>35.64</v>
      </c>
      <c r="K329" t="b">
        <f t="shared" si="11"/>
        <v>1</v>
      </c>
    </row>
    <row r="330" spans="2:11">
      <c r="B330">
        <v>326</v>
      </c>
      <c r="C330" t="s">
        <v>103</v>
      </c>
      <c r="D330">
        <v>72</v>
      </c>
      <c r="E330" t="str">
        <f>IF(VLOOKUP(D330,Couleurs!A:B,2) = 0, "[" &amp; D330 &amp; "]",VLOOKUP(D330,Couleurs!A:B,2))</f>
        <v>[72]</v>
      </c>
      <c r="F330" s="1" t="s">
        <v>238</v>
      </c>
      <c r="G330">
        <v>2</v>
      </c>
      <c r="H330" t="s">
        <v>1587</v>
      </c>
      <c r="I330" t="s">
        <v>1670</v>
      </c>
      <c r="J330">
        <f t="shared" si="10"/>
        <v>58.8</v>
      </c>
      <c r="K330" t="b">
        <f t="shared" si="11"/>
        <v>1</v>
      </c>
    </row>
    <row r="331" spans="2:11">
      <c r="B331">
        <v>327</v>
      </c>
      <c r="C331" t="s">
        <v>60</v>
      </c>
      <c r="D331">
        <v>72</v>
      </c>
      <c r="E331" t="str">
        <f>IF(VLOOKUP(D331,Couleurs!A:B,2) = 0, "[" &amp; D331 &amp; "]",VLOOKUP(D331,Couleurs!A:B,2))</f>
        <v>[72]</v>
      </c>
      <c r="F331" s="1" t="s">
        <v>196</v>
      </c>
      <c r="G331">
        <v>2</v>
      </c>
      <c r="H331" t="s">
        <v>1558</v>
      </c>
      <c r="I331" t="s">
        <v>1559</v>
      </c>
      <c r="J331">
        <f t="shared" si="10"/>
        <v>36.24</v>
      </c>
      <c r="K331" t="b">
        <f t="shared" si="11"/>
        <v>1</v>
      </c>
    </row>
    <row r="332" spans="2:11">
      <c r="B332">
        <v>328</v>
      </c>
      <c r="C332" t="s">
        <v>106</v>
      </c>
      <c r="D332">
        <v>125</v>
      </c>
      <c r="E332" t="str">
        <f>IF(VLOOKUP(D332,Couleurs!A:B,2) = 0, "[" &amp; D332 &amp; "]",VLOOKUP(D332,Couleurs!A:B,2))</f>
        <v>[125]</v>
      </c>
      <c r="F332" s="1" t="s">
        <v>241</v>
      </c>
      <c r="G332">
        <v>2</v>
      </c>
      <c r="H332" t="s">
        <v>1563</v>
      </c>
      <c r="I332" t="s">
        <v>1609</v>
      </c>
      <c r="J332">
        <f t="shared" si="10"/>
        <v>23.76</v>
      </c>
      <c r="K332" t="b">
        <f t="shared" si="11"/>
        <v>1</v>
      </c>
    </row>
    <row r="333" spans="2:11">
      <c r="B333">
        <v>329</v>
      </c>
      <c r="C333" t="s">
        <v>107</v>
      </c>
      <c r="D333">
        <v>480</v>
      </c>
      <c r="E333" t="str">
        <f>IF(VLOOKUP(D333,Couleurs!A:B,2) = 0, "[" &amp; D333 &amp; "]",VLOOKUP(D333,Couleurs!A:B,2))</f>
        <v>[480]</v>
      </c>
      <c r="F333" s="1" t="s">
        <v>242</v>
      </c>
      <c r="G333">
        <v>2</v>
      </c>
      <c r="H333" t="s">
        <v>1596</v>
      </c>
      <c r="I333" t="s">
        <v>1597</v>
      </c>
      <c r="J333">
        <f t="shared" si="10"/>
        <v>21.6</v>
      </c>
      <c r="K333" t="b">
        <f t="shared" si="11"/>
        <v>1</v>
      </c>
    </row>
    <row r="334" spans="2:11">
      <c r="B334">
        <v>330</v>
      </c>
      <c r="C334" t="s">
        <v>108</v>
      </c>
      <c r="D334">
        <v>8</v>
      </c>
      <c r="E334" t="str">
        <f>IF(VLOOKUP(D334,Couleurs!A:B,2) = 0, "[" &amp; D334 &amp; "]",VLOOKUP(D334,Couleurs!A:B,2))</f>
        <v>WHITE</v>
      </c>
      <c r="F334" s="1" t="s">
        <v>243</v>
      </c>
      <c r="G334">
        <v>2</v>
      </c>
      <c r="H334" t="s">
        <v>1552</v>
      </c>
      <c r="I334" t="s">
        <v>1562</v>
      </c>
      <c r="J334">
        <f t="shared" si="10"/>
        <v>25.44</v>
      </c>
      <c r="K334" t="b">
        <f t="shared" si="11"/>
        <v>1</v>
      </c>
    </row>
    <row r="335" spans="2:11">
      <c r="B335">
        <v>331</v>
      </c>
      <c r="C335" t="s">
        <v>59</v>
      </c>
      <c r="D335">
        <v>75</v>
      </c>
      <c r="E335" t="str">
        <f>IF(VLOOKUP(D335,Couleurs!A:B,2) = 0, "[" &amp; D335 &amp; "]",VLOOKUP(D335,Couleurs!A:B,2))</f>
        <v>[75]</v>
      </c>
      <c r="F335" s="1" t="s">
        <v>195</v>
      </c>
      <c r="G335">
        <v>2</v>
      </c>
      <c r="H335" t="s">
        <v>1638</v>
      </c>
      <c r="I335" t="s">
        <v>1639</v>
      </c>
      <c r="J335">
        <f t="shared" si="10"/>
        <v>27.6</v>
      </c>
      <c r="K335" t="b">
        <f t="shared" si="11"/>
        <v>1</v>
      </c>
    </row>
    <row r="336" spans="2:11">
      <c r="B336">
        <v>332</v>
      </c>
      <c r="C336" t="s">
        <v>1567</v>
      </c>
      <c r="D336">
        <v>479</v>
      </c>
      <c r="E336" t="str">
        <f>IF(VLOOKUP(D336,Couleurs!A:B,2) = 0, "[" &amp; D336 &amp; "]",VLOOKUP(D336,Couleurs!A:B,2))</f>
        <v>[479]</v>
      </c>
      <c r="F336" s="1" t="s">
        <v>2173</v>
      </c>
      <c r="G336">
        <v>3</v>
      </c>
      <c r="H336" t="s">
        <v>1568</v>
      </c>
      <c r="I336" t="s">
        <v>2174</v>
      </c>
      <c r="J336">
        <f t="shared" si="10"/>
        <v>57.96</v>
      </c>
      <c r="K336" t="b">
        <f t="shared" si="11"/>
        <v>1</v>
      </c>
    </row>
    <row r="337" spans="2:11">
      <c r="B337">
        <v>333</v>
      </c>
      <c r="C337" t="s">
        <v>109</v>
      </c>
      <c r="D337">
        <v>481</v>
      </c>
      <c r="E337" t="str">
        <f>IF(VLOOKUP(D337,Couleurs!A:B,2) = 0, "[" &amp; D337 &amp; "]",VLOOKUP(D337,Couleurs!A:B,2))</f>
        <v>[481]</v>
      </c>
      <c r="F337" s="1" t="s">
        <v>244</v>
      </c>
      <c r="G337">
        <v>2</v>
      </c>
      <c r="H337" t="s">
        <v>1596</v>
      </c>
      <c r="I337" t="s">
        <v>1597</v>
      </c>
      <c r="J337">
        <f t="shared" si="10"/>
        <v>21.6</v>
      </c>
      <c r="K337" t="b">
        <f t="shared" si="11"/>
        <v>1</v>
      </c>
    </row>
    <row r="338" spans="2:11">
      <c r="B338">
        <v>334</v>
      </c>
      <c r="C338" t="s">
        <v>23</v>
      </c>
      <c r="D338">
        <v>479</v>
      </c>
      <c r="E338" t="str">
        <f>IF(VLOOKUP(D338,Couleurs!A:B,2) = 0, "[" &amp; D338 &amp; "]",VLOOKUP(D338,Couleurs!A:B,2))</f>
        <v>[479]</v>
      </c>
      <c r="F338" s="1" t="s">
        <v>156</v>
      </c>
      <c r="G338">
        <v>2</v>
      </c>
      <c r="H338" t="s">
        <v>1575</v>
      </c>
      <c r="I338" t="s">
        <v>1578</v>
      </c>
      <c r="J338">
        <f t="shared" si="10"/>
        <v>26.16</v>
      </c>
      <c r="K338" t="b">
        <f t="shared" si="11"/>
        <v>1</v>
      </c>
    </row>
    <row r="339" spans="2:11">
      <c r="B339">
        <v>335</v>
      </c>
      <c r="C339" t="s">
        <v>0</v>
      </c>
      <c r="D339">
        <v>347</v>
      </c>
      <c r="E339" t="str">
        <f>IF(VLOOKUP(D339,Couleurs!A:B,2) = 0, "[" &amp; D339 &amp; "]",VLOOKUP(D339,Couleurs!A:B,2))</f>
        <v>[347]</v>
      </c>
      <c r="F339" s="1" t="s">
        <v>136</v>
      </c>
      <c r="G339">
        <v>2</v>
      </c>
      <c r="H339" t="s">
        <v>1550</v>
      </c>
      <c r="I339" t="s">
        <v>1564</v>
      </c>
      <c r="J339">
        <f t="shared" si="10"/>
        <v>15.6</v>
      </c>
      <c r="K339" t="b">
        <f t="shared" si="11"/>
        <v>1</v>
      </c>
    </row>
    <row r="340" spans="2:11">
      <c r="B340">
        <v>336</v>
      </c>
      <c r="C340" t="s">
        <v>26</v>
      </c>
      <c r="D340">
        <v>484</v>
      </c>
      <c r="E340" t="str">
        <f>IF(VLOOKUP(D340,Couleurs!A:B,2) = 0, "[" &amp; D340 &amp; "]",VLOOKUP(D340,Couleurs!A:B,2))</f>
        <v>[484]</v>
      </c>
      <c r="F340" s="1" t="s">
        <v>159</v>
      </c>
      <c r="G340">
        <v>3</v>
      </c>
      <c r="H340" t="s">
        <v>1555</v>
      </c>
      <c r="I340" t="s">
        <v>1565</v>
      </c>
      <c r="J340">
        <f t="shared" si="10"/>
        <v>43.2</v>
      </c>
      <c r="K340" t="b">
        <f t="shared" si="11"/>
        <v>1</v>
      </c>
    </row>
    <row r="341" spans="2:11">
      <c r="B341">
        <v>337</v>
      </c>
      <c r="C341" t="s">
        <v>50</v>
      </c>
      <c r="D341">
        <v>371</v>
      </c>
      <c r="E341" t="str">
        <f>IF(VLOOKUP(D341,Couleurs!A:B,2) = 0, "[" &amp; D341 &amp; "]",VLOOKUP(D341,Couleurs!A:B,2))</f>
        <v>MILK</v>
      </c>
      <c r="F341" s="1" t="s">
        <v>186</v>
      </c>
      <c r="G341">
        <v>3</v>
      </c>
      <c r="H341" t="s">
        <v>1564</v>
      </c>
      <c r="I341" t="s">
        <v>1629</v>
      </c>
      <c r="J341">
        <f t="shared" si="10"/>
        <v>46.8</v>
      </c>
      <c r="K341" t="b">
        <f t="shared" si="11"/>
        <v>1</v>
      </c>
    </row>
    <row r="342" spans="2:11">
      <c r="B342">
        <v>338</v>
      </c>
      <c r="C342" t="s">
        <v>1651</v>
      </c>
      <c r="D342">
        <v>36</v>
      </c>
      <c r="E342" t="str">
        <f>IF(VLOOKUP(D342,Couleurs!A:B,2) = 0, "[" &amp; D342 &amp; "]",VLOOKUP(D342,Couleurs!A:B,2))</f>
        <v>[36]</v>
      </c>
      <c r="F342" s="1" t="s">
        <v>2199</v>
      </c>
      <c r="G342">
        <v>3</v>
      </c>
      <c r="H342" t="s">
        <v>1555</v>
      </c>
      <c r="I342" t="s">
        <v>1565</v>
      </c>
      <c r="J342">
        <f t="shared" si="10"/>
        <v>43.2</v>
      </c>
      <c r="K342" t="b">
        <f t="shared" si="11"/>
        <v>1</v>
      </c>
    </row>
    <row r="343" spans="2:11">
      <c r="B343">
        <v>339</v>
      </c>
      <c r="C343" t="s">
        <v>76</v>
      </c>
      <c r="D343">
        <v>36</v>
      </c>
      <c r="E343" t="str">
        <f>IF(VLOOKUP(D343,Couleurs!A:B,2) = 0, "[" &amp; D343 &amp; "]",VLOOKUP(D343,Couleurs!A:B,2))</f>
        <v>[36]</v>
      </c>
      <c r="F343" s="1" t="s">
        <v>211</v>
      </c>
      <c r="G343">
        <v>2</v>
      </c>
      <c r="H343" t="s">
        <v>1563</v>
      </c>
      <c r="I343" t="s">
        <v>1609</v>
      </c>
      <c r="J343">
        <f t="shared" si="10"/>
        <v>23.76</v>
      </c>
      <c r="K343" t="b">
        <f t="shared" si="11"/>
        <v>1</v>
      </c>
    </row>
    <row r="344" spans="2:11">
      <c r="B344">
        <v>340</v>
      </c>
      <c r="C344" t="s">
        <v>75</v>
      </c>
      <c r="D344">
        <v>55</v>
      </c>
      <c r="E344" t="str">
        <f>IF(VLOOKUP(D344,Couleurs!A:B,2) = 0, "[" &amp; D344 &amp; "]",VLOOKUP(D344,Couleurs!A:B,2))</f>
        <v>BLACK</v>
      </c>
      <c r="F344" s="1" t="s">
        <v>210</v>
      </c>
      <c r="G344">
        <v>2</v>
      </c>
      <c r="H344" t="s">
        <v>1564</v>
      </c>
      <c r="I344" t="s">
        <v>1569</v>
      </c>
      <c r="J344">
        <f t="shared" si="10"/>
        <v>31.2</v>
      </c>
      <c r="K344" t="b">
        <f t="shared" si="11"/>
        <v>1</v>
      </c>
    </row>
    <row r="345" spans="2:11">
      <c r="B345">
        <v>341</v>
      </c>
      <c r="C345" t="s">
        <v>19</v>
      </c>
      <c r="D345">
        <v>26</v>
      </c>
      <c r="E345" t="str">
        <f>IF(VLOOKUP(D345,Couleurs!A:B,2) = 0, "[" &amp; D345 &amp; "]",VLOOKUP(D345,Couleurs!A:B,2))</f>
        <v>[26]</v>
      </c>
      <c r="F345" s="1" t="s">
        <v>152</v>
      </c>
      <c r="G345">
        <v>3</v>
      </c>
      <c r="H345" t="s">
        <v>1573</v>
      </c>
      <c r="I345" t="s">
        <v>1574</v>
      </c>
      <c r="J345">
        <f t="shared" si="10"/>
        <v>28.799999999999997</v>
      </c>
      <c r="K345" t="b">
        <f t="shared" si="11"/>
        <v>1</v>
      </c>
    </row>
    <row r="346" spans="2:11">
      <c r="B346">
        <v>342</v>
      </c>
      <c r="C346" t="s">
        <v>51</v>
      </c>
      <c r="D346">
        <v>26</v>
      </c>
      <c r="E346" t="str">
        <f>IF(VLOOKUP(D346,Couleurs!A:B,2) = 0, "[" &amp; D346 &amp; "]",VLOOKUP(D346,Couleurs!A:B,2))</f>
        <v>[26]</v>
      </c>
      <c r="F346" s="1" t="s">
        <v>187</v>
      </c>
      <c r="G346">
        <v>8</v>
      </c>
      <c r="H346" t="s">
        <v>1598</v>
      </c>
      <c r="I346" t="s">
        <v>1630</v>
      </c>
      <c r="J346">
        <f t="shared" si="10"/>
        <v>36.479999999999997</v>
      </c>
      <c r="K346" t="b">
        <f t="shared" si="11"/>
        <v>1</v>
      </c>
    </row>
    <row r="347" spans="2:11">
      <c r="B347">
        <v>343</v>
      </c>
      <c r="C347" t="s">
        <v>107</v>
      </c>
      <c r="D347">
        <v>481</v>
      </c>
      <c r="E347" t="str">
        <f>IF(VLOOKUP(D347,Couleurs!A:B,2) = 0, "[" &amp; D347 &amp; "]",VLOOKUP(D347,Couleurs!A:B,2))</f>
        <v>[481]</v>
      </c>
      <c r="F347" s="1" t="s">
        <v>242</v>
      </c>
      <c r="G347">
        <v>2</v>
      </c>
      <c r="H347" t="s">
        <v>1596</v>
      </c>
      <c r="I347" t="s">
        <v>1597</v>
      </c>
      <c r="J347">
        <f t="shared" si="10"/>
        <v>21.6</v>
      </c>
      <c r="K347" t="b">
        <f t="shared" si="11"/>
        <v>1</v>
      </c>
    </row>
    <row r="348" spans="2:11">
      <c r="B348">
        <v>344</v>
      </c>
      <c r="C348" t="s">
        <v>110</v>
      </c>
      <c r="D348">
        <v>441</v>
      </c>
      <c r="E348" t="str">
        <f>IF(VLOOKUP(D348,Couleurs!A:B,2) = 0, "[" &amp; D348 &amp; "]",VLOOKUP(D348,Couleurs!A:B,2))</f>
        <v>[441]</v>
      </c>
      <c r="F348" s="1" t="s">
        <v>245</v>
      </c>
      <c r="G348">
        <v>2</v>
      </c>
      <c r="H348" t="s">
        <v>1564</v>
      </c>
      <c r="I348" t="s">
        <v>1569</v>
      </c>
      <c r="J348">
        <f t="shared" si="10"/>
        <v>31.2</v>
      </c>
      <c r="K348" t="b">
        <f t="shared" si="11"/>
        <v>1</v>
      </c>
    </row>
    <row r="349" spans="2:11">
      <c r="B349">
        <v>345</v>
      </c>
      <c r="C349" t="s">
        <v>59</v>
      </c>
      <c r="D349">
        <v>371</v>
      </c>
      <c r="E349" t="str">
        <f>IF(VLOOKUP(D349,Couleurs!A:B,2) = 0, "[" &amp; D349 &amp; "]",VLOOKUP(D349,Couleurs!A:B,2))</f>
        <v>MILK</v>
      </c>
      <c r="F349" s="1" t="s">
        <v>195</v>
      </c>
      <c r="G349">
        <v>2</v>
      </c>
      <c r="H349" t="s">
        <v>1638</v>
      </c>
      <c r="I349" t="s">
        <v>1639</v>
      </c>
      <c r="J349">
        <f t="shared" si="10"/>
        <v>27.6</v>
      </c>
      <c r="K349" t="b">
        <f t="shared" si="11"/>
        <v>1</v>
      </c>
    </row>
    <row r="350" spans="2:11">
      <c r="B350">
        <v>346</v>
      </c>
      <c r="C350" t="s">
        <v>59</v>
      </c>
      <c r="D350">
        <v>479</v>
      </c>
      <c r="E350" t="str">
        <f>IF(VLOOKUP(D350,Couleurs!A:B,2) = 0, "[" &amp; D350 &amp; "]",VLOOKUP(D350,Couleurs!A:B,2))</f>
        <v>[479]</v>
      </c>
      <c r="F350" s="1" t="s">
        <v>195</v>
      </c>
      <c r="G350">
        <v>2</v>
      </c>
      <c r="H350" t="s">
        <v>1638</v>
      </c>
      <c r="I350" t="s">
        <v>1639</v>
      </c>
      <c r="J350">
        <f t="shared" si="10"/>
        <v>27.6</v>
      </c>
      <c r="K350" t="b">
        <f t="shared" si="11"/>
        <v>1</v>
      </c>
    </row>
    <row r="351" spans="2:11">
      <c r="B351">
        <v>347</v>
      </c>
      <c r="C351" t="s">
        <v>60</v>
      </c>
      <c r="D351">
        <v>130</v>
      </c>
      <c r="E351" t="str">
        <f>IF(VLOOKUP(D351,Couleurs!A:B,2) = 0, "[" &amp; D351 &amp; "]",VLOOKUP(D351,Couleurs!A:B,2))</f>
        <v>[130]</v>
      </c>
      <c r="F351" s="1" t="s">
        <v>196</v>
      </c>
      <c r="G351">
        <v>2</v>
      </c>
      <c r="H351" t="s">
        <v>1558</v>
      </c>
      <c r="I351" t="s">
        <v>1559</v>
      </c>
      <c r="J351">
        <f t="shared" si="10"/>
        <v>36.24</v>
      </c>
      <c r="K351" t="b">
        <f t="shared" si="11"/>
        <v>1</v>
      </c>
    </row>
    <row r="352" spans="2:11">
      <c r="B352">
        <v>348</v>
      </c>
      <c r="C352" t="s">
        <v>5</v>
      </c>
      <c r="D352">
        <v>75</v>
      </c>
      <c r="E352" t="str">
        <f>IF(VLOOKUP(D352,Couleurs!A:B,2) = 0, "[" &amp; D352 &amp; "]",VLOOKUP(D352,Couleurs!A:B,2))</f>
        <v>[75]</v>
      </c>
      <c r="F352" s="1" t="s">
        <v>141</v>
      </c>
      <c r="G352">
        <v>2</v>
      </c>
      <c r="H352" t="s">
        <v>1560</v>
      </c>
      <c r="I352" t="s">
        <v>1561</v>
      </c>
      <c r="J352">
        <f t="shared" si="10"/>
        <v>18.72</v>
      </c>
      <c r="K352" t="b">
        <f t="shared" si="11"/>
        <v>1</v>
      </c>
    </row>
    <row r="353" spans="2:11">
      <c r="B353">
        <v>349</v>
      </c>
      <c r="C353" t="s">
        <v>90</v>
      </c>
      <c r="D353">
        <v>72</v>
      </c>
      <c r="E353" t="str">
        <f>IF(VLOOKUP(D353,Couleurs!A:B,2) = 0, "[" &amp; D353 &amp; "]",VLOOKUP(D353,Couleurs!A:B,2))</f>
        <v>[72]</v>
      </c>
      <c r="F353" s="1" t="s">
        <v>225</v>
      </c>
      <c r="G353">
        <v>2</v>
      </c>
      <c r="H353" t="s">
        <v>1552</v>
      </c>
      <c r="I353" t="s">
        <v>1562</v>
      </c>
      <c r="J353">
        <f t="shared" si="10"/>
        <v>25.44</v>
      </c>
      <c r="K353" t="b">
        <f t="shared" si="11"/>
        <v>1</v>
      </c>
    </row>
    <row r="354" spans="2:11">
      <c r="B354">
        <v>350</v>
      </c>
      <c r="C354" t="s">
        <v>1</v>
      </c>
      <c r="D354">
        <v>72</v>
      </c>
      <c r="E354" t="str">
        <f>IF(VLOOKUP(D354,Couleurs!A:B,2) = 0, "[" &amp; D354 &amp; "]",VLOOKUP(D354,Couleurs!A:B,2))</f>
        <v>[72]</v>
      </c>
      <c r="F354" s="1" t="s">
        <v>137</v>
      </c>
      <c r="G354">
        <v>4</v>
      </c>
      <c r="H354" t="s">
        <v>1552</v>
      </c>
      <c r="I354" t="s">
        <v>1553</v>
      </c>
      <c r="J354">
        <f t="shared" si="10"/>
        <v>50.88</v>
      </c>
      <c r="K354" t="b">
        <f t="shared" si="11"/>
        <v>1</v>
      </c>
    </row>
    <row r="355" spans="2:11">
      <c r="B355">
        <v>351</v>
      </c>
      <c r="C355" t="s">
        <v>51</v>
      </c>
      <c r="D355">
        <v>483</v>
      </c>
      <c r="E355" t="str">
        <f>IF(VLOOKUP(D355,Couleurs!A:B,2) = 0, "[" &amp; D355 &amp; "]",VLOOKUP(D355,Couleurs!A:B,2))</f>
        <v>[483]</v>
      </c>
      <c r="F355" s="1" t="s">
        <v>187</v>
      </c>
      <c r="G355">
        <v>8</v>
      </c>
      <c r="H355" t="s">
        <v>1598</v>
      </c>
      <c r="I355" t="s">
        <v>1630</v>
      </c>
      <c r="J355">
        <f t="shared" si="10"/>
        <v>36.479999999999997</v>
      </c>
      <c r="K355" t="b">
        <f t="shared" si="11"/>
        <v>1</v>
      </c>
    </row>
    <row r="356" spans="2:11">
      <c r="B356">
        <v>352</v>
      </c>
      <c r="C356" t="s">
        <v>61</v>
      </c>
      <c r="D356">
        <v>25</v>
      </c>
      <c r="E356" t="str">
        <f>IF(VLOOKUP(D356,Couleurs!A:B,2) = 0, "[" &amp; D356 &amp; "]",VLOOKUP(D356,Couleurs!A:B,2))</f>
        <v>[25]</v>
      </c>
      <c r="F356" s="1" t="s">
        <v>197</v>
      </c>
      <c r="G356">
        <v>3</v>
      </c>
      <c r="H356">
        <v>9</v>
      </c>
      <c r="I356">
        <v>27</v>
      </c>
      <c r="J356">
        <f t="shared" si="10"/>
        <v>27</v>
      </c>
      <c r="K356" t="b">
        <f t="shared" si="11"/>
        <v>1</v>
      </c>
    </row>
    <row r="357" spans="2:11">
      <c r="B357">
        <v>353</v>
      </c>
      <c r="C357" t="s">
        <v>111</v>
      </c>
      <c r="D357">
        <v>134</v>
      </c>
      <c r="E357" t="str">
        <f>IF(VLOOKUP(D357,Couleurs!A:B,2) = 0, "[" &amp; D357 &amp; "]",VLOOKUP(D357,Couleurs!A:B,2))</f>
        <v>[134]</v>
      </c>
      <c r="F357" s="1" t="s">
        <v>246</v>
      </c>
      <c r="G357">
        <v>3</v>
      </c>
      <c r="H357" t="s">
        <v>1560</v>
      </c>
      <c r="I357" t="s">
        <v>1674</v>
      </c>
      <c r="J357">
        <f t="shared" si="10"/>
        <v>28.08</v>
      </c>
      <c r="K357" t="b">
        <f t="shared" si="11"/>
        <v>1</v>
      </c>
    </row>
    <row r="358" spans="2:11">
      <c r="B358">
        <v>354</v>
      </c>
      <c r="C358" t="s">
        <v>89</v>
      </c>
      <c r="D358">
        <v>75</v>
      </c>
      <c r="E358" t="str">
        <f>IF(VLOOKUP(D358,Couleurs!A:B,2) = 0, "[" &amp; D358 &amp; "]",VLOOKUP(D358,Couleurs!A:B,2))</f>
        <v>[75]</v>
      </c>
      <c r="F358" s="1" t="s">
        <v>224</v>
      </c>
      <c r="G358">
        <v>3</v>
      </c>
      <c r="H358">
        <v>9</v>
      </c>
      <c r="I358">
        <v>27</v>
      </c>
      <c r="J358">
        <f t="shared" si="10"/>
        <v>27</v>
      </c>
      <c r="K358" t="b">
        <f t="shared" si="11"/>
        <v>1</v>
      </c>
    </row>
    <row r="359" spans="2:11">
      <c r="B359">
        <v>355</v>
      </c>
      <c r="C359" t="s">
        <v>89</v>
      </c>
      <c r="D359">
        <v>130</v>
      </c>
      <c r="E359" t="str">
        <f>IF(VLOOKUP(D359,Couleurs!A:B,2) = 0, "[" &amp; D359 &amp; "]",VLOOKUP(D359,Couleurs!A:B,2))</f>
        <v>[130]</v>
      </c>
      <c r="F359" s="1" t="s">
        <v>224</v>
      </c>
      <c r="G359">
        <v>3</v>
      </c>
      <c r="H359">
        <v>9</v>
      </c>
      <c r="I359">
        <v>27</v>
      </c>
      <c r="J359">
        <f t="shared" si="10"/>
        <v>27</v>
      </c>
      <c r="K359" t="b">
        <f t="shared" si="11"/>
        <v>1</v>
      </c>
    </row>
    <row r="360" spans="2:11">
      <c r="B360">
        <v>356</v>
      </c>
      <c r="C360" t="s">
        <v>15</v>
      </c>
      <c r="D360">
        <v>347</v>
      </c>
      <c r="E360" t="str">
        <f>IF(VLOOKUP(D360,Couleurs!A:B,2) = 0, "[" &amp; D360 &amp; "]",VLOOKUP(D360,Couleurs!A:B,2))</f>
        <v>[347]</v>
      </c>
      <c r="F360" s="1" t="s">
        <v>166</v>
      </c>
      <c r="G360">
        <v>2</v>
      </c>
      <c r="H360" t="s">
        <v>1594</v>
      </c>
      <c r="I360" t="s">
        <v>1595</v>
      </c>
      <c r="J360">
        <f t="shared" si="10"/>
        <v>19.559999999999999</v>
      </c>
      <c r="K360" t="b">
        <f t="shared" si="11"/>
        <v>1</v>
      </c>
    </row>
    <row r="361" spans="2:11">
      <c r="B361">
        <v>357</v>
      </c>
      <c r="C361" t="s">
        <v>5</v>
      </c>
      <c r="D361">
        <v>422</v>
      </c>
      <c r="E361" t="str">
        <f>IF(VLOOKUP(D361,Couleurs!A:B,2) = 0, "[" &amp; D361 &amp; "]",VLOOKUP(D361,Couleurs!A:B,2))</f>
        <v>SANGRIA</v>
      </c>
      <c r="F361" s="1" t="s">
        <v>141</v>
      </c>
      <c r="G361">
        <v>2</v>
      </c>
      <c r="H361" t="s">
        <v>1560</v>
      </c>
      <c r="I361" t="s">
        <v>1561</v>
      </c>
      <c r="J361">
        <f t="shared" si="10"/>
        <v>18.72</v>
      </c>
      <c r="K361" t="b">
        <f t="shared" si="11"/>
        <v>1</v>
      </c>
    </row>
    <row r="362" spans="2:11">
      <c r="B362">
        <v>358</v>
      </c>
      <c r="C362" t="s">
        <v>22</v>
      </c>
      <c r="D362">
        <v>38</v>
      </c>
      <c r="E362" t="str">
        <f>IF(VLOOKUP(D362,Couleurs!A:B,2) = 0, "[" &amp; D362 &amp; "]",VLOOKUP(D362,Couleurs!A:B,2))</f>
        <v>[38]</v>
      </c>
      <c r="F362" s="1" t="s">
        <v>155</v>
      </c>
      <c r="G362">
        <v>2</v>
      </c>
      <c r="H362" t="s">
        <v>1555</v>
      </c>
      <c r="I362" t="s">
        <v>1574</v>
      </c>
      <c r="J362">
        <f t="shared" si="10"/>
        <v>28.8</v>
      </c>
      <c r="K362" t="b">
        <f t="shared" si="11"/>
        <v>1</v>
      </c>
    </row>
    <row r="363" spans="2:11">
      <c r="B363">
        <v>359</v>
      </c>
      <c r="C363" t="s">
        <v>112</v>
      </c>
      <c r="D363">
        <v>78</v>
      </c>
      <c r="E363" t="str">
        <f>IF(VLOOKUP(D363,Couleurs!A:B,2) = 0, "[" &amp; D363 &amp; "]",VLOOKUP(D363,Couleurs!A:B,2))</f>
        <v>SAND</v>
      </c>
      <c r="F363" s="1" t="s">
        <v>247</v>
      </c>
      <c r="G363">
        <v>2</v>
      </c>
      <c r="H363" t="s">
        <v>1675</v>
      </c>
      <c r="I363" t="s">
        <v>1676</v>
      </c>
      <c r="J363">
        <f t="shared" si="10"/>
        <v>20.88</v>
      </c>
      <c r="K363" t="b">
        <f t="shared" si="11"/>
        <v>1</v>
      </c>
    </row>
    <row r="364" spans="2:11">
      <c r="B364">
        <v>360</v>
      </c>
      <c r="C364" t="s">
        <v>1610</v>
      </c>
      <c r="D364">
        <v>55</v>
      </c>
      <c r="E364" t="str">
        <f>IF(VLOOKUP(D364,Couleurs!A:B,2) = 0, "[" &amp; D364 &amp; "]",VLOOKUP(D364,Couleurs!A:B,2))</f>
        <v>BLACK</v>
      </c>
      <c r="F364" s="1" t="s">
        <v>1611</v>
      </c>
      <c r="G364">
        <v>2</v>
      </c>
      <c r="H364" t="s">
        <v>1563</v>
      </c>
      <c r="I364" t="s">
        <v>1609</v>
      </c>
      <c r="J364">
        <f t="shared" si="10"/>
        <v>23.76</v>
      </c>
      <c r="K364" t="b">
        <f t="shared" si="11"/>
        <v>1</v>
      </c>
    </row>
    <row r="365" spans="2:11">
      <c r="B365">
        <v>361</v>
      </c>
      <c r="C365" t="s">
        <v>26</v>
      </c>
      <c r="D365">
        <v>38</v>
      </c>
      <c r="E365" t="str">
        <f>IF(VLOOKUP(D365,Couleurs!A:B,2) = 0, "[" &amp; D365 &amp; "]",VLOOKUP(D365,Couleurs!A:B,2))</f>
        <v>[38]</v>
      </c>
      <c r="F365" s="1" t="s">
        <v>159</v>
      </c>
      <c r="G365">
        <v>3</v>
      </c>
      <c r="H365" t="s">
        <v>1555</v>
      </c>
      <c r="I365" t="s">
        <v>1565</v>
      </c>
      <c r="J365">
        <f t="shared" si="10"/>
        <v>43.2</v>
      </c>
      <c r="K365" t="b">
        <f t="shared" si="11"/>
        <v>1</v>
      </c>
    </row>
    <row r="366" spans="2:11">
      <c r="B366">
        <v>362</v>
      </c>
      <c r="C366" t="s">
        <v>24</v>
      </c>
      <c r="D366">
        <v>17</v>
      </c>
      <c r="E366" t="str">
        <f>IF(VLOOKUP(D366,Couleurs!A:B,2) = 0, "[" &amp; D366 &amp; "]",VLOOKUP(D366,Couleurs!A:B,2))</f>
        <v>NAVY BLUE</v>
      </c>
      <c r="F366" s="1" t="s">
        <v>157</v>
      </c>
      <c r="G366">
        <v>1</v>
      </c>
      <c r="H366" t="s">
        <v>1554</v>
      </c>
      <c r="I366" t="s">
        <v>1554</v>
      </c>
      <c r="J366">
        <f t="shared" si="10"/>
        <v>4.8</v>
      </c>
      <c r="K366" t="b">
        <f t="shared" si="11"/>
        <v>1</v>
      </c>
    </row>
    <row r="367" spans="2:11">
      <c r="B367">
        <v>363</v>
      </c>
      <c r="C367" t="s">
        <v>22</v>
      </c>
      <c r="D367">
        <v>78</v>
      </c>
      <c r="E367" t="str">
        <f>IF(VLOOKUP(D367,Couleurs!A:B,2) = 0, "[" &amp; D367 &amp; "]",VLOOKUP(D367,Couleurs!A:B,2))</f>
        <v>SAND</v>
      </c>
      <c r="F367" s="1" t="s">
        <v>155</v>
      </c>
      <c r="G367">
        <v>1</v>
      </c>
      <c r="H367" t="s">
        <v>1555</v>
      </c>
      <c r="I367" t="s">
        <v>1555</v>
      </c>
      <c r="J367">
        <f t="shared" si="10"/>
        <v>14.4</v>
      </c>
      <c r="K367" t="b">
        <f t="shared" si="11"/>
        <v>1</v>
      </c>
    </row>
    <row r="368" spans="2:11">
      <c r="B368">
        <v>364</v>
      </c>
      <c r="C368" t="s">
        <v>1</v>
      </c>
      <c r="D368">
        <v>55</v>
      </c>
      <c r="E368" t="str">
        <f>IF(VLOOKUP(D368,Couleurs!A:B,2) = 0, "[" &amp; D368 &amp; "]",VLOOKUP(D368,Couleurs!A:B,2))</f>
        <v>BLACK</v>
      </c>
      <c r="F368" s="1" t="s">
        <v>137</v>
      </c>
      <c r="G368">
        <v>4</v>
      </c>
      <c r="H368" t="s">
        <v>1552</v>
      </c>
      <c r="I368" t="s">
        <v>1553</v>
      </c>
      <c r="J368">
        <f t="shared" si="10"/>
        <v>50.88</v>
      </c>
      <c r="K368" t="b">
        <f t="shared" si="11"/>
        <v>1</v>
      </c>
    </row>
    <row r="369" spans="2:11">
      <c r="B369">
        <v>365</v>
      </c>
      <c r="C369" t="s">
        <v>112</v>
      </c>
      <c r="D369">
        <v>55</v>
      </c>
      <c r="E369" t="str">
        <f>IF(VLOOKUP(D369,Couleurs!A:B,2) = 0, "[" &amp; D369 &amp; "]",VLOOKUP(D369,Couleurs!A:B,2))</f>
        <v>BLACK</v>
      </c>
      <c r="F369" s="1" t="s">
        <v>247</v>
      </c>
      <c r="G369">
        <v>2</v>
      </c>
      <c r="H369" t="s">
        <v>1675</v>
      </c>
      <c r="I369" t="s">
        <v>1676</v>
      </c>
      <c r="J369">
        <f t="shared" si="10"/>
        <v>20.88</v>
      </c>
      <c r="K369" t="b">
        <f t="shared" si="11"/>
        <v>1</v>
      </c>
    </row>
    <row r="370" spans="2:11">
      <c r="B370">
        <v>366</v>
      </c>
      <c r="C370" t="s">
        <v>1579</v>
      </c>
      <c r="D370">
        <v>17</v>
      </c>
      <c r="E370" t="str">
        <f>IF(VLOOKUP(D370,Couleurs!A:B,2) = 0, "[" &amp; D370 &amp; "]",VLOOKUP(D370,Couleurs!A:B,2))</f>
        <v>NAVY BLUE</v>
      </c>
      <c r="F370" s="1" t="s">
        <v>2176</v>
      </c>
      <c r="G370">
        <v>2</v>
      </c>
      <c r="H370" t="s">
        <v>1563</v>
      </c>
      <c r="I370" t="s">
        <v>1609</v>
      </c>
      <c r="J370">
        <f t="shared" si="10"/>
        <v>23.76</v>
      </c>
      <c r="K370" t="b">
        <f t="shared" si="11"/>
        <v>1</v>
      </c>
    </row>
    <row r="371" spans="2:11">
      <c r="B371">
        <v>367</v>
      </c>
      <c r="C371" t="s">
        <v>1610</v>
      </c>
      <c r="D371">
        <v>26</v>
      </c>
      <c r="E371" t="str">
        <f>IF(VLOOKUP(D371,Couleurs!A:B,2) = 0, "[" &amp; D371 &amp; "]",VLOOKUP(D371,Couleurs!A:B,2))</f>
        <v>[26]</v>
      </c>
      <c r="F371" s="1" t="s">
        <v>1611</v>
      </c>
      <c r="G371">
        <v>3</v>
      </c>
      <c r="H371" t="s">
        <v>1563</v>
      </c>
      <c r="I371" t="s">
        <v>1580</v>
      </c>
      <c r="J371">
        <f t="shared" si="10"/>
        <v>35.64</v>
      </c>
      <c r="K371" t="b">
        <f t="shared" si="11"/>
        <v>1</v>
      </c>
    </row>
    <row r="372" spans="2:11">
      <c r="B372">
        <v>368</v>
      </c>
      <c r="C372" t="s">
        <v>25</v>
      </c>
      <c r="D372">
        <v>26</v>
      </c>
      <c r="E372" t="str">
        <f>IF(VLOOKUP(D372,Couleurs!A:B,2) = 0, "[" &amp; D372 &amp; "]",VLOOKUP(D372,Couleurs!A:B,2))</f>
        <v>[26]</v>
      </c>
      <c r="F372" s="1" t="s">
        <v>158</v>
      </c>
      <c r="G372">
        <v>2</v>
      </c>
      <c r="H372" t="s">
        <v>1576</v>
      </c>
      <c r="I372" t="s">
        <v>1571</v>
      </c>
      <c r="J372">
        <f t="shared" si="10"/>
        <v>25.2</v>
      </c>
      <c r="K372" t="b">
        <f t="shared" si="11"/>
        <v>1</v>
      </c>
    </row>
    <row r="373" spans="2:11">
      <c r="B373">
        <v>369</v>
      </c>
      <c r="C373" t="s">
        <v>26</v>
      </c>
      <c r="D373">
        <v>347</v>
      </c>
      <c r="E373" t="str">
        <f>IF(VLOOKUP(D373,Couleurs!A:B,2) = 0, "[" &amp; D373 &amp; "]",VLOOKUP(D373,Couleurs!A:B,2))</f>
        <v>[347]</v>
      </c>
      <c r="F373" s="1" t="s">
        <v>159</v>
      </c>
      <c r="G373">
        <v>3</v>
      </c>
      <c r="H373" t="s">
        <v>1555</v>
      </c>
      <c r="I373" t="s">
        <v>1565</v>
      </c>
      <c r="J373">
        <f t="shared" si="10"/>
        <v>43.2</v>
      </c>
      <c r="K373" t="b">
        <f t="shared" si="11"/>
        <v>1</v>
      </c>
    </row>
    <row r="374" spans="2:11">
      <c r="B374">
        <v>370</v>
      </c>
      <c r="C374" t="s">
        <v>35</v>
      </c>
      <c r="D374">
        <v>76</v>
      </c>
      <c r="E374" t="str">
        <f>IF(VLOOKUP(D374,Couleurs!A:B,2) = 0, "[" &amp; D374 &amp; "]",VLOOKUP(D374,Couleurs!A:B,2))</f>
        <v>[76]</v>
      </c>
      <c r="F374" s="1" t="s">
        <v>171</v>
      </c>
      <c r="G374">
        <v>6</v>
      </c>
      <c r="H374" t="s">
        <v>1612</v>
      </c>
      <c r="I374" t="s">
        <v>1613</v>
      </c>
      <c r="J374">
        <f t="shared" si="10"/>
        <v>15.120000000000001</v>
      </c>
      <c r="K374" t="b">
        <f t="shared" si="11"/>
        <v>1</v>
      </c>
    </row>
    <row r="375" spans="2:11">
      <c r="B375">
        <v>371</v>
      </c>
      <c r="C375" t="s">
        <v>27</v>
      </c>
      <c r="D375">
        <v>422</v>
      </c>
      <c r="E375" t="str">
        <f>IF(VLOOKUP(D375,Couleurs!A:B,2) = 0, "[" &amp; D375 &amp; "]",VLOOKUP(D375,Couleurs!A:B,2))</f>
        <v>SANGRIA</v>
      </c>
      <c r="F375" s="1" t="s">
        <v>160</v>
      </c>
      <c r="G375">
        <v>6</v>
      </c>
      <c r="H375" t="s">
        <v>1581</v>
      </c>
      <c r="I375" t="s">
        <v>1582</v>
      </c>
      <c r="J375">
        <f t="shared" si="10"/>
        <v>11.52</v>
      </c>
      <c r="K375" t="b">
        <f t="shared" si="11"/>
        <v>1</v>
      </c>
    </row>
    <row r="376" spans="2:11">
      <c r="B376">
        <v>372</v>
      </c>
      <c r="C376" t="s">
        <v>29</v>
      </c>
      <c r="D376">
        <v>75</v>
      </c>
      <c r="E376" t="str">
        <f>IF(VLOOKUP(D376,Couleurs!A:B,2) = 0, "[" &amp; D376 &amp; "]",VLOOKUP(D376,Couleurs!A:B,2))</f>
        <v>[75]</v>
      </c>
      <c r="F376" s="1" t="s">
        <v>162</v>
      </c>
      <c r="G376">
        <v>2</v>
      </c>
      <c r="H376" t="s">
        <v>1584</v>
      </c>
      <c r="I376" t="s">
        <v>1589</v>
      </c>
      <c r="J376">
        <f t="shared" si="10"/>
        <v>14.16</v>
      </c>
      <c r="K376" t="b">
        <f t="shared" si="11"/>
        <v>1</v>
      </c>
    </row>
    <row r="377" spans="2:11">
      <c r="B377">
        <v>373</v>
      </c>
      <c r="C377" t="s">
        <v>24</v>
      </c>
      <c r="D377">
        <v>347</v>
      </c>
      <c r="E377" t="str">
        <f>IF(VLOOKUP(D377,Couleurs!A:B,2) = 0, "[" &amp; D377 &amp; "]",VLOOKUP(D377,Couleurs!A:B,2))</f>
        <v>[347]</v>
      </c>
      <c r="F377" s="1" t="s">
        <v>157</v>
      </c>
      <c r="G377">
        <v>3</v>
      </c>
      <c r="H377" t="s">
        <v>1554</v>
      </c>
      <c r="I377" t="s">
        <v>1555</v>
      </c>
      <c r="J377">
        <f t="shared" si="10"/>
        <v>14.399999999999999</v>
      </c>
      <c r="K377" t="b">
        <f t="shared" si="11"/>
        <v>1</v>
      </c>
    </row>
    <row r="378" spans="2:11">
      <c r="B378">
        <v>374</v>
      </c>
      <c r="C378" t="s">
        <v>1658</v>
      </c>
      <c r="D378">
        <v>36</v>
      </c>
      <c r="E378" t="str">
        <f>IF(VLOOKUP(D378,Couleurs!A:B,2) = 0, "[" &amp; D378 &amp; "]",VLOOKUP(D378,Couleurs!A:B,2))</f>
        <v>[36]</v>
      </c>
      <c r="F378" s="1" t="s">
        <v>1659</v>
      </c>
      <c r="G378">
        <v>2</v>
      </c>
      <c r="H378" t="s">
        <v>1552</v>
      </c>
      <c r="I378" t="s">
        <v>1562</v>
      </c>
      <c r="J378">
        <f t="shared" si="10"/>
        <v>25.44</v>
      </c>
      <c r="K378" t="b">
        <f t="shared" si="11"/>
        <v>1</v>
      </c>
    </row>
    <row r="379" spans="2:11">
      <c r="B379">
        <v>375</v>
      </c>
      <c r="C379" t="s">
        <v>113</v>
      </c>
      <c r="D379">
        <v>227</v>
      </c>
      <c r="E379" t="str">
        <f>IF(VLOOKUP(D379,Couleurs!A:B,2) = 0, "[" &amp; D379 &amp; "]",VLOOKUP(D379,Couleurs!A:B,2))</f>
        <v>[227]</v>
      </c>
      <c r="F379" s="1" t="s">
        <v>248</v>
      </c>
      <c r="G379">
        <v>2</v>
      </c>
      <c r="H379" t="s">
        <v>1555</v>
      </c>
      <c r="I379" t="s">
        <v>1574</v>
      </c>
      <c r="J379">
        <f t="shared" si="10"/>
        <v>28.8</v>
      </c>
      <c r="K379" t="b">
        <f t="shared" si="11"/>
        <v>1</v>
      </c>
    </row>
    <row r="380" spans="2:11">
      <c r="B380">
        <v>376</v>
      </c>
      <c r="C380" t="s">
        <v>1677</v>
      </c>
      <c r="D380">
        <v>55</v>
      </c>
      <c r="E380" t="str">
        <f>IF(VLOOKUP(D380,Couleurs!A:B,2) = 0, "[" &amp; D380 &amp; "]",VLOOKUP(D380,Couleurs!A:B,2))</f>
        <v>BLACK</v>
      </c>
      <c r="F380" s="1" t="s">
        <v>1678</v>
      </c>
      <c r="G380">
        <v>2</v>
      </c>
      <c r="H380" t="s">
        <v>1596</v>
      </c>
      <c r="I380" t="s">
        <v>1597</v>
      </c>
      <c r="J380">
        <f t="shared" si="10"/>
        <v>21.6</v>
      </c>
      <c r="K380" t="b">
        <f t="shared" si="11"/>
        <v>1</v>
      </c>
    </row>
    <row r="381" spans="2:11">
      <c r="B381">
        <v>377</v>
      </c>
      <c r="C381" t="s">
        <v>1</v>
      </c>
      <c r="D381">
        <v>17</v>
      </c>
      <c r="E381" t="str">
        <f>IF(VLOOKUP(D381,Couleurs!A:B,2) = 0, "[" &amp; D381 &amp; "]",VLOOKUP(D381,Couleurs!A:B,2))</f>
        <v>NAVY BLUE</v>
      </c>
      <c r="F381" s="1" t="s">
        <v>137</v>
      </c>
      <c r="G381">
        <v>4</v>
      </c>
      <c r="H381" t="s">
        <v>1552</v>
      </c>
      <c r="I381" t="s">
        <v>1553</v>
      </c>
      <c r="J381">
        <f t="shared" si="10"/>
        <v>50.88</v>
      </c>
      <c r="K381" t="b">
        <f t="shared" si="11"/>
        <v>1</v>
      </c>
    </row>
    <row r="382" spans="2:11">
      <c r="B382">
        <v>378</v>
      </c>
      <c r="C382" t="s">
        <v>1</v>
      </c>
      <c r="D382">
        <v>479</v>
      </c>
      <c r="E382" t="str">
        <f>IF(VLOOKUP(D382,Couleurs!A:B,2) = 0, "[" &amp; D382 &amp; "]",VLOOKUP(D382,Couleurs!A:B,2))</f>
        <v>[479]</v>
      </c>
      <c r="F382" s="1" t="s">
        <v>137</v>
      </c>
      <c r="G382">
        <v>4</v>
      </c>
      <c r="H382" t="s">
        <v>1552</v>
      </c>
      <c r="I382" t="s">
        <v>1553</v>
      </c>
      <c r="J382">
        <f t="shared" si="10"/>
        <v>50.88</v>
      </c>
      <c r="K382" t="b">
        <f t="shared" si="11"/>
        <v>1</v>
      </c>
    </row>
    <row r="383" spans="2:11">
      <c r="B383">
        <v>379</v>
      </c>
      <c r="C383" t="s">
        <v>1626</v>
      </c>
      <c r="D383">
        <v>76</v>
      </c>
      <c r="E383" t="str">
        <f>IF(VLOOKUP(D383,Couleurs!A:B,2) = 0, "[" &amp; D383 &amp; "]",VLOOKUP(D383,Couleurs!A:B,2))</f>
        <v>[76]</v>
      </c>
      <c r="F383" s="1" t="s">
        <v>1627</v>
      </c>
      <c r="G383">
        <v>2</v>
      </c>
      <c r="H383" t="s">
        <v>1596</v>
      </c>
      <c r="I383" t="s">
        <v>1597</v>
      </c>
      <c r="J383">
        <f t="shared" si="10"/>
        <v>21.6</v>
      </c>
      <c r="K383" t="b">
        <f t="shared" si="11"/>
        <v>1</v>
      </c>
    </row>
    <row r="384" spans="2:11">
      <c r="B384">
        <v>380</v>
      </c>
      <c r="C384" t="s">
        <v>4</v>
      </c>
      <c r="D384">
        <v>55</v>
      </c>
      <c r="E384" t="str">
        <f>IF(VLOOKUP(D384,Couleurs!A:B,2) = 0, "[" &amp; D384 &amp; "]",VLOOKUP(D384,Couleurs!A:B,2))</f>
        <v>BLACK</v>
      </c>
      <c r="F384" s="1" t="s">
        <v>140</v>
      </c>
      <c r="G384">
        <v>2</v>
      </c>
      <c r="H384" t="s">
        <v>1558</v>
      </c>
      <c r="I384" t="s">
        <v>1559</v>
      </c>
      <c r="J384">
        <f t="shared" si="10"/>
        <v>36.24</v>
      </c>
      <c r="K384" t="b">
        <f t="shared" si="11"/>
        <v>1</v>
      </c>
    </row>
    <row r="385" spans="2:11">
      <c r="B385">
        <v>381</v>
      </c>
      <c r="C385" t="s">
        <v>51</v>
      </c>
      <c r="D385">
        <v>55</v>
      </c>
      <c r="E385" t="str">
        <f>IF(VLOOKUP(D385,Couleurs!A:B,2) = 0, "[" &amp; D385 &amp; "]",VLOOKUP(D385,Couleurs!A:B,2))</f>
        <v>BLACK</v>
      </c>
      <c r="F385" s="1" t="s">
        <v>187</v>
      </c>
      <c r="G385">
        <v>10</v>
      </c>
      <c r="H385" t="s">
        <v>1598</v>
      </c>
      <c r="I385" t="s">
        <v>1679</v>
      </c>
      <c r="J385">
        <f t="shared" si="10"/>
        <v>45.599999999999994</v>
      </c>
      <c r="K385" t="b">
        <f t="shared" si="11"/>
        <v>1</v>
      </c>
    </row>
    <row r="386" spans="2:11">
      <c r="B386">
        <v>382</v>
      </c>
      <c r="C386" t="s">
        <v>54</v>
      </c>
      <c r="D386">
        <v>17</v>
      </c>
      <c r="E386" t="str">
        <f>IF(VLOOKUP(D386,Couleurs!A:B,2) = 0, "[" &amp; D386 &amp; "]",VLOOKUP(D386,Couleurs!A:B,2))</f>
        <v>NAVY BLUE</v>
      </c>
      <c r="F386" s="1" t="s">
        <v>190</v>
      </c>
      <c r="G386">
        <v>4</v>
      </c>
      <c r="H386" t="s">
        <v>1633</v>
      </c>
      <c r="I386" t="s">
        <v>1555</v>
      </c>
      <c r="J386">
        <f t="shared" si="10"/>
        <v>14.4</v>
      </c>
      <c r="K386" t="b">
        <f t="shared" si="11"/>
        <v>1</v>
      </c>
    </row>
    <row r="387" spans="2:11">
      <c r="B387">
        <v>383</v>
      </c>
      <c r="C387" t="s">
        <v>86</v>
      </c>
      <c r="D387">
        <v>480</v>
      </c>
      <c r="E387" t="str">
        <f>IF(VLOOKUP(D387,Couleurs!A:B,2) = 0, "[" &amp; D387 &amp; "]",VLOOKUP(D387,Couleurs!A:B,2))</f>
        <v>[480]</v>
      </c>
      <c r="F387" s="1" t="s">
        <v>221</v>
      </c>
      <c r="G387">
        <v>2</v>
      </c>
      <c r="H387" t="s">
        <v>1563</v>
      </c>
      <c r="I387" t="s">
        <v>1609</v>
      </c>
      <c r="J387">
        <f t="shared" si="10"/>
        <v>23.76</v>
      </c>
      <c r="K387" t="b">
        <f t="shared" si="11"/>
        <v>1</v>
      </c>
    </row>
    <row r="388" spans="2:11">
      <c r="B388">
        <v>384</v>
      </c>
      <c r="C388" t="s">
        <v>114</v>
      </c>
      <c r="D388">
        <v>55</v>
      </c>
      <c r="E388" t="str">
        <f>IF(VLOOKUP(D388,Couleurs!A:B,2) = 0, "[" &amp; D388 &amp; "]",VLOOKUP(D388,Couleurs!A:B,2))</f>
        <v>BLACK</v>
      </c>
      <c r="F388" s="1" t="s">
        <v>249</v>
      </c>
      <c r="G388">
        <v>2</v>
      </c>
      <c r="H388" t="s">
        <v>1552</v>
      </c>
      <c r="I388" t="s">
        <v>1562</v>
      </c>
      <c r="J388">
        <f t="shared" si="10"/>
        <v>25.44</v>
      </c>
      <c r="K388" t="b">
        <f t="shared" si="11"/>
        <v>1</v>
      </c>
    </row>
    <row r="389" spans="2:11">
      <c r="B389">
        <v>385</v>
      </c>
      <c r="C389" t="s">
        <v>115</v>
      </c>
      <c r="D389">
        <v>55</v>
      </c>
      <c r="E389" t="str">
        <f>IF(VLOOKUP(D389,Couleurs!A:B,2) = 0, "[" &amp; D389 &amp; "]",VLOOKUP(D389,Couleurs!A:B,2))</f>
        <v>BLACK</v>
      </c>
      <c r="F389" s="1" t="s">
        <v>250</v>
      </c>
      <c r="G389">
        <v>6</v>
      </c>
      <c r="H389">
        <v>9</v>
      </c>
      <c r="I389">
        <v>54</v>
      </c>
      <c r="J389">
        <f t="shared" ref="J389:J457" si="12">G389*H389</f>
        <v>54</v>
      </c>
      <c r="K389" t="b">
        <f t="shared" ref="K389:K452" si="13">(0+I389)=J389</f>
        <v>1</v>
      </c>
    </row>
    <row r="390" spans="2:11">
      <c r="B390">
        <v>386</v>
      </c>
      <c r="C390" t="s">
        <v>116</v>
      </c>
      <c r="D390">
        <v>55</v>
      </c>
      <c r="E390" t="str">
        <f>IF(VLOOKUP(D390,Couleurs!A:B,2) = 0, "[" &amp; D390 &amp; "]",VLOOKUP(D390,Couleurs!A:B,2))</f>
        <v>BLACK</v>
      </c>
      <c r="F390" s="1" t="s">
        <v>251</v>
      </c>
      <c r="G390">
        <v>2</v>
      </c>
      <c r="H390" t="s">
        <v>1564</v>
      </c>
      <c r="I390" t="s">
        <v>1569</v>
      </c>
      <c r="J390">
        <f t="shared" si="12"/>
        <v>31.2</v>
      </c>
      <c r="K390" t="b">
        <f t="shared" si="13"/>
        <v>1</v>
      </c>
    </row>
    <row r="391" spans="2:11">
      <c r="B391">
        <v>387</v>
      </c>
      <c r="C391" t="s">
        <v>29</v>
      </c>
      <c r="D391">
        <v>76</v>
      </c>
      <c r="E391" t="str">
        <f>IF(VLOOKUP(D391,Couleurs!A:B,2) = 0, "[" &amp; D391 &amp; "]",VLOOKUP(D391,Couleurs!A:B,2))</f>
        <v>[76]</v>
      </c>
      <c r="F391" s="1" t="s">
        <v>162</v>
      </c>
      <c r="G391">
        <v>2</v>
      </c>
      <c r="H391" t="s">
        <v>1584</v>
      </c>
      <c r="I391" t="s">
        <v>1589</v>
      </c>
      <c r="J391">
        <f t="shared" si="12"/>
        <v>14.16</v>
      </c>
      <c r="K391" t="b">
        <f t="shared" si="13"/>
        <v>1</v>
      </c>
    </row>
    <row r="392" spans="2:11">
      <c r="B392">
        <v>388</v>
      </c>
      <c r="C392" t="s">
        <v>117</v>
      </c>
      <c r="D392">
        <v>61</v>
      </c>
      <c r="E392" t="str">
        <f>IF(VLOOKUP(D392,Couleurs!A:B,2) = 0, "[" &amp; D392 &amp; "]",VLOOKUP(D392,Couleurs!A:B,2))</f>
        <v>GOLD</v>
      </c>
      <c r="F392" s="1" t="s">
        <v>252</v>
      </c>
      <c r="G392">
        <v>2</v>
      </c>
      <c r="H392" t="s">
        <v>1555</v>
      </c>
      <c r="I392" t="s">
        <v>1574</v>
      </c>
      <c r="J392">
        <f t="shared" si="12"/>
        <v>28.8</v>
      </c>
      <c r="K392" t="b">
        <f t="shared" si="13"/>
        <v>1</v>
      </c>
    </row>
    <row r="393" spans="2:11">
      <c r="B393">
        <v>389</v>
      </c>
      <c r="C393" t="s">
        <v>118</v>
      </c>
      <c r="D393">
        <v>475</v>
      </c>
      <c r="E393" t="str">
        <f>IF(VLOOKUP(D393,Couleurs!A:B,2) = 0, "[" &amp; D393 &amp; "]",VLOOKUP(D393,Couleurs!A:B,2))</f>
        <v>[475]</v>
      </c>
      <c r="F393" s="1" t="s">
        <v>253</v>
      </c>
      <c r="G393">
        <v>3</v>
      </c>
      <c r="H393" t="s">
        <v>1601</v>
      </c>
      <c r="I393" t="s">
        <v>1602</v>
      </c>
      <c r="J393">
        <f t="shared" si="12"/>
        <v>19.799999999999997</v>
      </c>
      <c r="K393" t="b">
        <f t="shared" si="13"/>
        <v>1</v>
      </c>
    </row>
    <row r="394" spans="2:11">
      <c r="B394">
        <v>390</v>
      </c>
      <c r="C394" t="s">
        <v>118</v>
      </c>
      <c r="D394">
        <v>475</v>
      </c>
      <c r="E394" t="str">
        <f>IF(VLOOKUP(D394,Couleurs!A:B,2) = 0, "[" &amp; D394 &amp; "]",VLOOKUP(D394,Couleurs!A:B,2))</f>
        <v>[475]</v>
      </c>
      <c r="F394" s="1" t="s">
        <v>253</v>
      </c>
      <c r="G394">
        <v>3</v>
      </c>
      <c r="H394" t="s">
        <v>1601</v>
      </c>
      <c r="I394" t="s">
        <v>1602</v>
      </c>
      <c r="J394">
        <f t="shared" si="12"/>
        <v>19.799999999999997</v>
      </c>
      <c r="K394" t="b">
        <f t="shared" si="13"/>
        <v>1</v>
      </c>
    </row>
    <row r="395" spans="2:11">
      <c r="B395">
        <v>391</v>
      </c>
      <c r="C395" t="s">
        <v>67</v>
      </c>
      <c r="D395">
        <v>500</v>
      </c>
      <c r="E395" t="str">
        <f>IF(VLOOKUP(D395,Couleurs!A:B,2) = 0, "[" &amp; D395 &amp; "]",VLOOKUP(D395,Couleurs!A:B,2))</f>
        <v>[500]</v>
      </c>
      <c r="F395" s="1" t="s">
        <v>203</v>
      </c>
      <c r="G395">
        <v>4</v>
      </c>
      <c r="H395" t="s">
        <v>1550</v>
      </c>
      <c r="I395" t="s">
        <v>1569</v>
      </c>
      <c r="J395">
        <f t="shared" si="12"/>
        <v>31.2</v>
      </c>
      <c r="K395" t="b">
        <f t="shared" si="13"/>
        <v>1</v>
      </c>
    </row>
    <row r="396" spans="2:11">
      <c r="B396">
        <v>392</v>
      </c>
      <c r="C396" t="s">
        <v>119</v>
      </c>
      <c r="D396">
        <v>36</v>
      </c>
      <c r="E396" t="str">
        <f>IF(VLOOKUP(D396,Couleurs!A:B,2) = 0, "[" &amp; D396 &amp; "]",VLOOKUP(D396,Couleurs!A:B,2))</f>
        <v>[36]</v>
      </c>
      <c r="F396" s="1" t="s">
        <v>254</v>
      </c>
      <c r="G396">
        <v>2</v>
      </c>
      <c r="H396" t="s">
        <v>1596</v>
      </c>
      <c r="I396" t="s">
        <v>1597</v>
      </c>
      <c r="J396">
        <f t="shared" si="12"/>
        <v>21.6</v>
      </c>
      <c r="K396" t="b">
        <f t="shared" si="13"/>
        <v>1</v>
      </c>
    </row>
    <row r="397" spans="2:11">
      <c r="B397">
        <v>393</v>
      </c>
      <c r="C397" t="s">
        <v>9</v>
      </c>
      <c r="D397">
        <v>36</v>
      </c>
      <c r="E397" t="str">
        <f>IF(VLOOKUP(D397,Couleurs!A:B,2) = 0, "[" &amp; D397 &amp; "]",VLOOKUP(D397,Couleurs!A:B,2))</f>
        <v>[36]</v>
      </c>
      <c r="F397" s="1" t="s">
        <v>145</v>
      </c>
      <c r="G397">
        <v>3</v>
      </c>
      <c r="H397" t="s">
        <v>1555</v>
      </c>
      <c r="I397" t="s">
        <v>1565</v>
      </c>
      <c r="J397">
        <f t="shared" si="12"/>
        <v>43.2</v>
      </c>
      <c r="K397" t="b">
        <f t="shared" si="13"/>
        <v>1</v>
      </c>
    </row>
    <row r="398" spans="2:11">
      <c r="B398">
        <v>394</v>
      </c>
      <c r="C398" t="s">
        <v>46</v>
      </c>
      <c r="D398">
        <v>17</v>
      </c>
      <c r="E398" t="str">
        <f>IF(VLOOKUP(D398,Couleurs!A:B,2) = 0, "[" &amp; D398 &amp; "]",VLOOKUP(D398,Couleurs!A:B,2))</f>
        <v>NAVY BLUE</v>
      </c>
      <c r="F398" s="1" t="s">
        <v>182</v>
      </c>
      <c r="G398">
        <v>6</v>
      </c>
      <c r="H398" t="s">
        <v>1556</v>
      </c>
      <c r="I398" t="s">
        <v>1628</v>
      </c>
      <c r="J398">
        <f t="shared" si="12"/>
        <v>80.64</v>
      </c>
      <c r="K398" t="b">
        <f t="shared" si="13"/>
        <v>1</v>
      </c>
    </row>
    <row r="399" spans="2:11">
      <c r="B399">
        <v>395</v>
      </c>
      <c r="C399" t="s">
        <v>48</v>
      </c>
      <c r="D399">
        <v>479</v>
      </c>
      <c r="E399" t="str">
        <f>IF(VLOOKUP(D399,Couleurs!A:B,2) = 0, "[" &amp; D399 &amp; "]",VLOOKUP(D399,Couleurs!A:B,2))</f>
        <v>[479]</v>
      </c>
      <c r="F399" s="1" t="s">
        <v>184</v>
      </c>
      <c r="G399">
        <v>3</v>
      </c>
      <c r="H399" t="s">
        <v>1623</v>
      </c>
      <c r="I399" t="s">
        <v>1624</v>
      </c>
      <c r="J399">
        <f t="shared" si="12"/>
        <v>60.12</v>
      </c>
      <c r="K399" t="b">
        <f t="shared" si="13"/>
        <v>1</v>
      </c>
    </row>
    <row r="400" spans="2:11">
      <c r="B400">
        <v>396</v>
      </c>
      <c r="C400" t="s">
        <v>50</v>
      </c>
      <c r="D400">
        <v>76</v>
      </c>
      <c r="E400" t="str">
        <f>IF(VLOOKUP(D400,Couleurs!A:B,2) = 0, "[" &amp; D400 &amp; "]",VLOOKUP(D400,Couleurs!A:B,2))</f>
        <v>[76]</v>
      </c>
      <c r="F400" s="1" t="s">
        <v>186</v>
      </c>
      <c r="G400">
        <v>3</v>
      </c>
      <c r="H400" t="s">
        <v>1564</v>
      </c>
      <c r="I400" t="s">
        <v>1629</v>
      </c>
      <c r="J400">
        <f t="shared" si="12"/>
        <v>46.8</v>
      </c>
      <c r="K400" t="b">
        <f t="shared" si="13"/>
        <v>1</v>
      </c>
    </row>
    <row r="401" spans="2:11">
      <c r="B401">
        <v>397</v>
      </c>
      <c r="C401" t="s">
        <v>70</v>
      </c>
      <c r="D401">
        <v>55</v>
      </c>
      <c r="E401" t="str">
        <f>IF(VLOOKUP(D401,Couleurs!A:B,2) = 0, "[" &amp; D401 &amp; "]",VLOOKUP(D401,Couleurs!A:B,2))</f>
        <v>BLACK</v>
      </c>
      <c r="F401" s="1" t="s">
        <v>206</v>
      </c>
      <c r="G401">
        <v>2</v>
      </c>
      <c r="H401" t="s">
        <v>1563</v>
      </c>
      <c r="I401" t="s">
        <v>1609</v>
      </c>
      <c r="J401">
        <f t="shared" si="12"/>
        <v>23.76</v>
      </c>
      <c r="K401" t="b">
        <f t="shared" si="13"/>
        <v>1</v>
      </c>
    </row>
    <row r="402" spans="2:11">
      <c r="B402">
        <v>398</v>
      </c>
      <c r="C402" t="s">
        <v>8</v>
      </c>
      <c r="D402">
        <v>76</v>
      </c>
      <c r="E402" t="str">
        <f>IF(VLOOKUP(D402,Couleurs!A:B,2) = 0, "[" &amp; D402 &amp; "]",VLOOKUP(D402,Couleurs!A:B,2))</f>
        <v>[76]</v>
      </c>
      <c r="F402" s="1" t="s">
        <v>144</v>
      </c>
      <c r="G402">
        <v>2</v>
      </c>
      <c r="H402" t="s">
        <v>1550</v>
      </c>
      <c r="I402" t="s">
        <v>1564</v>
      </c>
      <c r="J402">
        <f t="shared" si="12"/>
        <v>15.6</v>
      </c>
      <c r="K402" t="b">
        <f t="shared" si="13"/>
        <v>1</v>
      </c>
    </row>
    <row r="403" spans="2:11">
      <c r="B403">
        <v>399</v>
      </c>
      <c r="C403" t="s">
        <v>50</v>
      </c>
      <c r="D403">
        <v>422</v>
      </c>
      <c r="E403" t="str">
        <f>IF(VLOOKUP(D403,Couleurs!A:B,2) = 0, "[" &amp; D403 &amp; "]",VLOOKUP(D403,Couleurs!A:B,2))</f>
        <v>SANGRIA</v>
      </c>
      <c r="F403" s="1" t="s">
        <v>186</v>
      </c>
      <c r="G403">
        <v>3</v>
      </c>
      <c r="H403" t="s">
        <v>1564</v>
      </c>
      <c r="I403" t="s">
        <v>1629</v>
      </c>
      <c r="J403">
        <f t="shared" si="12"/>
        <v>46.8</v>
      </c>
      <c r="K403" t="b">
        <f t="shared" si="13"/>
        <v>1</v>
      </c>
    </row>
    <row r="404" spans="2:11">
      <c r="B404">
        <v>400</v>
      </c>
      <c r="C404" t="s">
        <v>31</v>
      </c>
      <c r="D404">
        <v>422</v>
      </c>
      <c r="E404" t="str">
        <f>IF(VLOOKUP(D404,Couleurs!A:B,2) = 0, "[" &amp; D404 &amp; "]",VLOOKUP(D404,Couleurs!A:B,2))</f>
        <v>SANGRIA</v>
      </c>
      <c r="F404" s="1" t="s">
        <v>167</v>
      </c>
      <c r="G404">
        <v>2</v>
      </c>
      <c r="H404" t="s">
        <v>1596</v>
      </c>
      <c r="I404" t="s">
        <v>1597</v>
      </c>
      <c r="J404">
        <f t="shared" si="12"/>
        <v>21.6</v>
      </c>
      <c r="K404" t="b">
        <f t="shared" si="13"/>
        <v>1</v>
      </c>
    </row>
    <row r="405" spans="2:11">
      <c r="B405">
        <v>401</v>
      </c>
      <c r="C405" t="s">
        <v>1677</v>
      </c>
      <c r="D405">
        <v>8</v>
      </c>
      <c r="E405" t="str">
        <f>IF(VLOOKUP(D405,Couleurs!A:B,2) = 0, "[" &amp; D405 &amp; "]",VLOOKUP(D405,Couleurs!A:B,2))</f>
        <v>WHITE</v>
      </c>
      <c r="F405" s="1" t="s">
        <v>1678</v>
      </c>
      <c r="G405">
        <v>2</v>
      </c>
      <c r="H405" t="s">
        <v>1596</v>
      </c>
      <c r="I405" t="s">
        <v>1597</v>
      </c>
      <c r="J405">
        <f t="shared" si="12"/>
        <v>21.6</v>
      </c>
      <c r="K405" t="b">
        <f t="shared" si="13"/>
        <v>1</v>
      </c>
    </row>
    <row r="406" spans="2:11">
      <c r="B406">
        <v>402</v>
      </c>
      <c r="C406" t="s">
        <v>6</v>
      </c>
      <c r="D406">
        <v>36</v>
      </c>
      <c r="E406" t="str">
        <f>IF(VLOOKUP(D406,Couleurs!A:B,2) = 0, "[" &amp; D406 &amp; "]",VLOOKUP(D406,Couleurs!A:B,2))</f>
        <v>[36]</v>
      </c>
      <c r="F406" s="1" t="s">
        <v>142</v>
      </c>
      <c r="G406">
        <v>2</v>
      </c>
      <c r="H406" t="s">
        <v>1552</v>
      </c>
      <c r="I406" t="s">
        <v>1562</v>
      </c>
      <c r="J406">
        <f t="shared" si="12"/>
        <v>25.44</v>
      </c>
      <c r="K406" t="b">
        <f t="shared" si="13"/>
        <v>1</v>
      </c>
    </row>
    <row r="407" spans="2:11">
      <c r="B407">
        <v>403</v>
      </c>
      <c r="C407" t="s">
        <v>54</v>
      </c>
      <c r="D407">
        <v>76</v>
      </c>
      <c r="E407" t="str">
        <f>IF(VLOOKUP(D407,Couleurs!A:B,2) = 0, "[" &amp; D407 &amp; "]",VLOOKUP(D407,Couleurs!A:B,2))</f>
        <v>[76]</v>
      </c>
      <c r="F407" s="1" t="s">
        <v>190</v>
      </c>
      <c r="G407">
        <v>6</v>
      </c>
      <c r="H407" t="s">
        <v>1633</v>
      </c>
      <c r="I407" t="s">
        <v>1597</v>
      </c>
      <c r="J407">
        <f t="shared" si="12"/>
        <v>21.6</v>
      </c>
      <c r="K407" t="b">
        <f t="shared" si="13"/>
        <v>1</v>
      </c>
    </row>
    <row r="408" spans="2:11">
      <c r="B408">
        <v>404</v>
      </c>
      <c r="C408" t="s">
        <v>19</v>
      </c>
      <c r="D408">
        <v>17</v>
      </c>
      <c r="E408" t="str">
        <f>IF(VLOOKUP(D408,Couleurs!A:B,2) = 0, "[" &amp; D408 &amp; "]",VLOOKUP(D408,Couleurs!A:B,2))</f>
        <v>NAVY BLUE</v>
      </c>
      <c r="F408" s="1" t="s">
        <v>152</v>
      </c>
      <c r="G408">
        <v>3</v>
      </c>
      <c r="H408" t="s">
        <v>1573</v>
      </c>
      <c r="I408" t="s">
        <v>1574</v>
      </c>
      <c r="J408">
        <f t="shared" si="12"/>
        <v>28.799999999999997</v>
      </c>
      <c r="K408" t="b">
        <f t="shared" si="13"/>
        <v>1</v>
      </c>
    </row>
    <row r="409" spans="2:11">
      <c r="B409">
        <v>405</v>
      </c>
      <c r="C409" t="s">
        <v>19</v>
      </c>
      <c r="D409">
        <v>36</v>
      </c>
      <c r="E409" t="str">
        <f>IF(VLOOKUP(D409,Couleurs!A:B,2) = 0, "[" &amp; D409 &amp; "]",VLOOKUP(D409,Couleurs!A:B,2))</f>
        <v>[36]</v>
      </c>
      <c r="F409" s="1" t="s">
        <v>152</v>
      </c>
      <c r="G409">
        <v>3</v>
      </c>
      <c r="H409" t="s">
        <v>1573</v>
      </c>
      <c r="I409" t="s">
        <v>1574</v>
      </c>
      <c r="J409">
        <f t="shared" si="12"/>
        <v>28.799999999999997</v>
      </c>
      <c r="K409" t="b">
        <f t="shared" si="13"/>
        <v>1</v>
      </c>
    </row>
    <row r="410" spans="2:11">
      <c r="B410">
        <v>406</v>
      </c>
      <c r="C410" t="s">
        <v>82</v>
      </c>
      <c r="D410">
        <v>55</v>
      </c>
      <c r="E410" t="str">
        <f>IF(VLOOKUP(D410,Couleurs!A:B,2) = 0, "[" &amp; D410 &amp; "]",VLOOKUP(D410,Couleurs!A:B,2))</f>
        <v>BLACK</v>
      </c>
      <c r="F410" s="1" t="s">
        <v>217</v>
      </c>
      <c r="G410">
        <v>3</v>
      </c>
      <c r="H410" t="s">
        <v>1570</v>
      </c>
      <c r="I410" t="s">
        <v>1571</v>
      </c>
      <c r="J410">
        <f t="shared" si="12"/>
        <v>25.200000000000003</v>
      </c>
      <c r="K410" t="b">
        <f t="shared" si="13"/>
        <v>1</v>
      </c>
    </row>
    <row r="411" spans="2:11">
      <c r="B411">
        <v>407</v>
      </c>
      <c r="C411" t="s">
        <v>83</v>
      </c>
      <c r="D411">
        <v>76</v>
      </c>
      <c r="E411" t="str">
        <f>IF(VLOOKUP(D411,Couleurs!A:B,2) = 0, "[" &amp; D411 &amp; "]",VLOOKUP(D411,Couleurs!A:B,2))</f>
        <v>[76]</v>
      </c>
      <c r="F411" s="1" t="s">
        <v>218</v>
      </c>
      <c r="G411">
        <v>3</v>
      </c>
      <c r="H411" t="s">
        <v>1570</v>
      </c>
      <c r="I411" t="s">
        <v>1571</v>
      </c>
      <c r="J411">
        <f t="shared" si="12"/>
        <v>25.200000000000003</v>
      </c>
      <c r="K411" t="b">
        <f t="shared" si="13"/>
        <v>1</v>
      </c>
    </row>
    <row r="412" spans="2:11">
      <c r="B412">
        <v>408</v>
      </c>
      <c r="C412" t="s">
        <v>56</v>
      </c>
      <c r="D412">
        <v>55</v>
      </c>
      <c r="E412" t="str">
        <f>IF(VLOOKUP(D412,Couleurs!A:B,2) = 0, "[" &amp; D412 &amp; "]",VLOOKUP(D412,Couleurs!A:B,2))</f>
        <v>BLACK</v>
      </c>
      <c r="F412" s="1" t="s">
        <v>192</v>
      </c>
      <c r="G412">
        <v>3</v>
      </c>
      <c r="H412" t="s">
        <v>1634</v>
      </c>
      <c r="I412" t="s">
        <v>1635</v>
      </c>
      <c r="J412">
        <f t="shared" si="12"/>
        <v>25.56</v>
      </c>
      <c r="K412" t="b">
        <f t="shared" si="13"/>
        <v>1</v>
      </c>
    </row>
    <row r="413" spans="2:11">
      <c r="B413">
        <v>409</v>
      </c>
      <c r="C413" t="s">
        <v>1680</v>
      </c>
      <c r="D413">
        <v>488</v>
      </c>
      <c r="E413" t="str">
        <f>IF(VLOOKUP(D413,Couleurs!A:B,2) = 0, "[" &amp; D413 &amp; "]",VLOOKUP(D413,Couleurs!A:B,2))</f>
        <v>[488]</v>
      </c>
      <c r="F413" s="1" t="s">
        <v>1681</v>
      </c>
      <c r="G413">
        <v>3</v>
      </c>
      <c r="H413">
        <v>18</v>
      </c>
      <c r="I413">
        <v>54</v>
      </c>
      <c r="J413">
        <f t="shared" si="12"/>
        <v>54</v>
      </c>
      <c r="K413" t="b">
        <f t="shared" si="13"/>
        <v>1</v>
      </c>
    </row>
    <row r="414" spans="2:11">
      <c r="B414">
        <v>410</v>
      </c>
      <c r="C414" t="s">
        <v>13</v>
      </c>
      <c r="D414">
        <v>17</v>
      </c>
      <c r="E414" t="str">
        <f>IF(VLOOKUP(D414,Couleurs!A:B,2) = 0, "[" &amp; D414 &amp; "]",VLOOKUP(D414,Couleurs!A:B,2))</f>
        <v>NAVY BLUE</v>
      </c>
      <c r="F414" s="1" t="s">
        <v>164</v>
      </c>
      <c r="G414">
        <v>2</v>
      </c>
      <c r="H414" t="s">
        <v>1591</v>
      </c>
      <c r="I414" t="s">
        <v>1592</v>
      </c>
      <c r="J414">
        <f t="shared" si="12"/>
        <v>19.440000000000001</v>
      </c>
      <c r="K414" t="b">
        <f t="shared" si="13"/>
        <v>1</v>
      </c>
    </row>
    <row r="415" spans="2:11">
      <c r="B415">
        <v>411</v>
      </c>
      <c r="C415" t="s">
        <v>18</v>
      </c>
      <c r="D415">
        <v>17</v>
      </c>
      <c r="E415" t="str">
        <f>IF(VLOOKUP(D415,Couleurs!A:B,2) = 0, "[" &amp; D415 &amp; "]",VLOOKUP(D415,Couleurs!A:B,2))</f>
        <v>NAVY BLUE</v>
      </c>
      <c r="F415" s="1" t="s">
        <v>151</v>
      </c>
      <c r="G415">
        <v>2</v>
      </c>
      <c r="H415" t="s">
        <v>1572</v>
      </c>
      <c r="I415" t="s">
        <v>1556</v>
      </c>
      <c r="J415">
        <f t="shared" si="12"/>
        <v>13.44</v>
      </c>
      <c r="K415" t="b">
        <f t="shared" si="13"/>
        <v>1</v>
      </c>
    </row>
    <row r="416" spans="2:11">
      <c r="B416">
        <v>412</v>
      </c>
      <c r="C416" t="s">
        <v>88</v>
      </c>
      <c r="D416">
        <v>75</v>
      </c>
      <c r="E416" t="str">
        <f>IF(VLOOKUP(D416,Couleurs!A:B,2) = 0, "[" &amp; D416 &amp; "]",VLOOKUP(D416,Couleurs!A:B,2))</f>
        <v>[75]</v>
      </c>
      <c r="F416" s="1" t="s">
        <v>223</v>
      </c>
      <c r="G416">
        <v>2</v>
      </c>
      <c r="H416">
        <v>24</v>
      </c>
      <c r="I416">
        <v>48</v>
      </c>
      <c r="J416">
        <f t="shared" si="12"/>
        <v>48</v>
      </c>
      <c r="K416" t="b">
        <f t="shared" si="13"/>
        <v>1</v>
      </c>
    </row>
    <row r="417" spans="2:11">
      <c r="B417">
        <v>413</v>
      </c>
      <c r="C417" t="s">
        <v>1614</v>
      </c>
      <c r="D417">
        <v>72</v>
      </c>
      <c r="E417" t="str">
        <f>IF(VLOOKUP(D417,Couleurs!A:B,2) = 0, "[" &amp; D417 &amp; "]",VLOOKUP(D417,Couleurs!A:B,2))</f>
        <v>[72]</v>
      </c>
      <c r="F417" s="1" t="s">
        <v>1615</v>
      </c>
      <c r="G417">
        <v>2</v>
      </c>
      <c r="H417" t="s">
        <v>1552</v>
      </c>
      <c r="I417" t="s">
        <v>1562</v>
      </c>
      <c r="J417">
        <f t="shared" si="12"/>
        <v>25.44</v>
      </c>
      <c r="K417" t="b">
        <f t="shared" si="13"/>
        <v>1</v>
      </c>
    </row>
    <row r="418" spans="2:11">
      <c r="B418">
        <v>414</v>
      </c>
      <c r="C418" t="s">
        <v>32</v>
      </c>
      <c r="D418">
        <v>479</v>
      </c>
      <c r="E418" t="str">
        <f>IF(VLOOKUP(D418,Couleurs!A:B,2) = 0, "[" &amp; D418 &amp; "]",VLOOKUP(D418,Couleurs!A:B,2))</f>
        <v>[479]</v>
      </c>
      <c r="F418" s="1" t="s">
        <v>168</v>
      </c>
      <c r="G418">
        <v>6</v>
      </c>
      <c r="H418" t="s">
        <v>1598</v>
      </c>
      <c r="I418" t="s">
        <v>1640</v>
      </c>
      <c r="J418">
        <f t="shared" si="12"/>
        <v>27.36</v>
      </c>
      <c r="K418" t="b">
        <f t="shared" si="13"/>
        <v>1</v>
      </c>
    </row>
    <row r="419" spans="2:11">
      <c r="B419">
        <v>415</v>
      </c>
      <c r="C419" t="s">
        <v>1</v>
      </c>
      <c r="D419">
        <v>483</v>
      </c>
      <c r="E419" t="str">
        <f>IF(VLOOKUP(D419,Couleurs!A:B,2) = 0, "[" &amp; D419 &amp; "]",VLOOKUP(D419,Couleurs!A:B,2))</f>
        <v>[483]</v>
      </c>
      <c r="F419" s="1" t="s">
        <v>137</v>
      </c>
      <c r="G419">
        <v>4</v>
      </c>
      <c r="H419" t="s">
        <v>1552</v>
      </c>
      <c r="I419" t="s">
        <v>1553</v>
      </c>
      <c r="J419">
        <f t="shared" si="12"/>
        <v>50.88</v>
      </c>
      <c r="K419" t="b">
        <f t="shared" si="13"/>
        <v>1</v>
      </c>
    </row>
    <row r="420" spans="2:11">
      <c r="B420">
        <v>416</v>
      </c>
      <c r="C420" t="s">
        <v>54</v>
      </c>
      <c r="D420">
        <v>26</v>
      </c>
      <c r="E420" t="str">
        <f>IF(VLOOKUP(D420,Couleurs!A:B,2) = 0, "[" &amp; D420 &amp; "]",VLOOKUP(D420,Couleurs!A:B,2))</f>
        <v>[26]</v>
      </c>
      <c r="F420" s="1" t="s">
        <v>190</v>
      </c>
      <c r="G420">
        <v>6</v>
      </c>
      <c r="H420" t="s">
        <v>1633</v>
      </c>
      <c r="I420" t="s">
        <v>1597</v>
      </c>
      <c r="J420">
        <f t="shared" si="12"/>
        <v>21.6</v>
      </c>
      <c r="K420" t="b">
        <f t="shared" si="13"/>
        <v>1</v>
      </c>
    </row>
    <row r="421" spans="2:11">
      <c r="B421">
        <v>417</v>
      </c>
      <c r="C421" t="s">
        <v>21</v>
      </c>
      <c r="D421">
        <v>78</v>
      </c>
      <c r="E421" t="str">
        <f>IF(VLOOKUP(D421,Couleurs!A:B,2) = 0, "[" &amp; D421 &amp; "]",VLOOKUP(D421,Couleurs!A:B,2))</f>
        <v>SAND</v>
      </c>
      <c r="F421" s="1" t="s">
        <v>154</v>
      </c>
      <c r="G421">
        <v>1</v>
      </c>
      <c r="H421" t="s">
        <v>1555</v>
      </c>
      <c r="I421" t="s">
        <v>1555</v>
      </c>
      <c r="J421">
        <f t="shared" si="12"/>
        <v>14.4</v>
      </c>
      <c r="K421" t="b">
        <f t="shared" si="13"/>
        <v>1</v>
      </c>
    </row>
    <row r="422" spans="2:11">
      <c r="B422">
        <v>418</v>
      </c>
      <c r="C422" t="s">
        <v>21</v>
      </c>
      <c r="D422">
        <v>55</v>
      </c>
      <c r="E422" t="str">
        <f>IF(VLOOKUP(D422,Couleurs!A:B,2) = 0, "[" &amp; D422 &amp; "]",VLOOKUP(D422,Couleurs!A:B,2))</f>
        <v>BLACK</v>
      </c>
      <c r="F422" s="1" t="s">
        <v>154</v>
      </c>
      <c r="G422">
        <v>1</v>
      </c>
      <c r="H422" t="s">
        <v>1555</v>
      </c>
      <c r="I422" t="s">
        <v>1555</v>
      </c>
      <c r="J422">
        <f t="shared" si="12"/>
        <v>14.4</v>
      </c>
      <c r="K422" t="b">
        <f t="shared" si="13"/>
        <v>1</v>
      </c>
    </row>
    <row r="423" spans="2:11">
      <c r="B423">
        <v>419</v>
      </c>
      <c r="C423" t="s">
        <v>26</v>
      </c>
      <c r="D423">
        <v>133</v>
      </c>
      <c r="E423" t="str">
        <f>IF(VLOOKUP(D423,Couleurs!A:B,2) = 0, "[" &amp; D423 &amp; "]",VLOOKUP(D423,Couleurs!A:B,2))</f>
        <v>LIGHT GREY</v>
      </c>
      <c r="F423" s="1" t="s">
        <v>159</v>
      </c>
      <c r="G423">
        <v>1</v>
      </c>
      <c r="H423" t="s">
        <v>1555</v>
      </c>
      <c r="I423" t="s">
        <v>1555</v>
      </c>
      <c r="J423">
        <f t="shared" si="12"/>
        <v>14.4</v>
      </c>
      <c r="K423" t="b">
        <f t="shared" si="13"/>
        <v>1</v>
      </c>
    </row>
    <row r="424" spans="2:11">
      <c r="B424">
        <v>420</v>
      </c>
      <c r="C424" t="s">
        <v>23</v>
      </c>
      <c r="D424">
        <v>17</v>
      </c>
      <c r="E424" t="str">
        <f>IF(VLOOKUP(D424,Couleurs!A:B,2) = 0, "[" &amp; D424 &amp; "]",VLOOKUP(D424,Couleurs!A:B,2))</f>
        <v>NAVY BLUE</v>
      </c>
      <c r="F424" s="1" t="s">
        <v>156</v>
      </c>
      <c r="G424">
        <v>1</v>
      </c>
      <c r="H424" t="s">
        <v>1575</v>
      </c>
      <c r="I424" t="s">
        <v>1575</v>
      </c>
      <c r="J424">
        <f t="shared" si="12"/>
        <v>13.08</v>
      </c>
      <c r="K424" t="b">
        <f t="shared" si="13"/>
        <v>1</v>
      </c>
    </row>
    <row r="425" spans="2:11">
      <c r="B425">
        <v>421</v>
      </c>
      <c r="C425" t="s">
        <v>23</v>
      </c>
      <c r="D425">
        <v>78</v>
      </c>
      <c r="E425" t="str">
        <f>IF(VLOOKUP(D425,Couleurs!A:B,2) = 0, "[" &amp; D425 &amp; "]",VLOOKUP(D425,Couleurs!A:B,2))</f>
        <v>SAND</v>
      </c>
      <c r="F425" s="1" t="s">
        <v>156</v>
      </c>
      <c r="G425">
        <v>1</v>
      </c>
      <c r="H425" t="s">
        <v>1575</v>
      </c>
      <c r="I425" t="s">
        <v>1575</v>
      </c>
      <c r="J425">
        <f t="shared" si="12"/>
        <v>13.08</v>
      </c>
      <c r="K425" t="b">
        <f t="shared" si="13"/>
        <v>1</v>
      </c>
    </row>
    <row r="426" spans="2:11">
      <c r="B426">
        <v>422</v>
      </c>
      <c r="C426" t="s">
        <v>24</v>
      </c>
      <c r="D426">
        <v>76</v>
      </c>
      <c r="E426" t="str">
        <f>IF(VLOOKUP(D426,Couleurs!A:B,2) = 0, "[" &amp; D426 &amp; "]",VLOOKUP(D426,Couleurs!A:B,2))</f>
        <v>[76]</v>
      </c>
      <c r="F426" s="1" t="s">
        <v>157</v>
      </c>
      <c r="G426">
        <v>3</v>
      </c>
      <c r="H426" t="s">
        <v>1554</v>
      </c>
      <c r="I426" t="s">
        <v>1555</v>
      </c>
      <c r="J426">
        <f t="shared" si="12"/>
        <v>14.399999999999999</v>
      </c>
      <c r="K426" t="b">
        <f t="shared" si="13"/>
        <v>1</v>
      </c>
    </row>
    <row r="427" spans="2:11">
      <c r="B427">
        <v>423</v>
      </c>
      <c r="C427" t="s">
        <v>21</v>
      </c>
      <c r="D427">
        <v>75</v>
      </c>
      <c r="E427" t="str">
        <f>IF(VLOOKUP(D427,Couleurs!A:B,2) = 0, "[" &amp; D427 &amp; "]",VLOOKUP(D427,Couleurs!A:B,2))</f>
        <v>[75]</v>
      </c>
      <c r="F427" s="1" t="s">
        <v>154</v>
      </c>
      <c r="G427">
        <v>3</v>
      </c>
      <c r="H427" t="s">
        <v>1555</v>
      </c>
      <c r="I427" t="s">
        <v>1565</v>
      </c>
      <c r="J427">
        <f t="shared" si="12"/>
        <v>43.2</v>
      </c>
      <c r="K427" t="b">
        <f t="shared" si="13"/>
        <v>1</v>
      </c>
    </row>
    <row r="428" spans="2:11">
      <c r="B428">
        <v>424</v>
      </c>
      <c r="C428" t="s">
        <v>24</v>
      </c>
      <c r="D428">
        <v>71</v>
      </c>
      <c r="E428" t="str">
        <f>IF(VLOOKUP(D428,Couleurs!A:B,2) = 0, "[" &amp; D428 &amp; "]",VLOOKUP(D428,Couleurs!A:B,2))</f>
        <v>ROCK</v>
      </c>
      <c r="F428" s="1" t="s">
        <v>157</v>
      </c>
      <c r="G428">
        <v>1</v>
      </c>
      <c r="H428" t="s">
        <v>1554</v>
      </c>
      <c r="I428" t="s">
        <v>1554</v>
      </c>
      <c r="J428">
        <f t="shared" si="12"/>
        <v>4.8</v>
      </c>
      <c r="K428" t="b">
        <f t="shared" si="13"/>
        <v>1</v>
      </c>
    </row>
    <row r="429" spans="2:11">
      <c r="B429">
        <v>425</v>
      </c>
      <c r="C429" t="s">
        <v>1603</v>
      </c>
      <c r="D429">
        <v>422</v>
      </c>
      <c r="E429" t="str">
        <f>IF(VLOOKUP(D429,Couleurs!A:B,2) = 0, "[" &amp; D429 &amp; "]",VLOOKUP(D429,Couleurs!A:B,2))</f>
        <v>SANGRIA</v>
      </c>
      <c r="F429" s="1" t="s">
        <v>1604</v>
      </c>
      <c r="G429">
        <v>2</v>
      </c>
      <c r="H429" t="s">
        <v>1605</v>
      </c>
      <c r="I429" t="s">
        <v>1606</v>
      </c>
      <c r="J429">
        <f t="shared" si="12"/>
        <v>27.84</v>
      </c>
      <c r="K429" t="b">
        <f t="shared" si="13"/>
        <v>1</v>
      </c>
    </row>
    <row r="430" spans="2:11">
      <c r="B430">
        <v>426</v>
      </c>
      <c r="C430" t="s">
        <v>22</v>
      </c>
      <c r="D430">
        <v>371</v>
      </c>
      <c r="E430" t="str">
        <f>IF(VLOOKUP(D430,Couleurs!A:B,2) = 0, "[" &amp; D430 &amp; "]",VLOOKUP(D430,Couleurs!A:B,2))</f>
        <v>MILK</v>
      </c>
      <c r="F430" s="1" t="s">
        <v>155</v>
      </c>
      <c r="G430">
        <v>1</v>
      </c>
      <c r="H430" t="s">
        <v>1555</v>
      </c>
      <c r="I430" t="s">
        <v>1555</v>
      </c>
      <c r="J430">
        <f t="shared" si="12"/>
        <v>14.4</v>
      </c>
      <c r="K430" t="b">
        <f t="shared" si="13"/>
        <v>1</v>
      </c>
    </row>
    <row r="431" spans="2:11">
      <c r="B431">
        <v>427</v>
      </c>
      <c r="C431" t="s">
        <v>26</v>
      </c>
      <c r="D431">
        <v>26</v>
      </c>
      <c r="E431" t="str">
        <f>IF(VLOOKUP(D431,Couleurs!A:B,2) = 0, "[" &amp; D431 &amp; "]",VLOOKUP(D431,Couleurs!A:B,2))</f>
        <v>[26]</v>
      </c>
      <c r="F431" s="1" t="s">
        <v>159</v>
      </c>
      <c r="G431">
        <v>3</v>
      </c>
      <c r="H431" t="s">
        <v>1555</v>
      </c>
      <c r="I431" t="s">
        <v>1565</v>
      </c>
      <c r="J431">
        <f t="shared" si="12"/>
        <v>43.2</v>
      </c>
      <c r="K431" t="b">
        <f t="shared" si="13"/>
        <v>1</v>
      </c>
    </row>
    <row r="432" spans="2:11">
      <c r="B432">
        <v>428</v>
      </c>
      <c r="C432" t="s">
        <v>1603</v>
      </c>
      <c r="D432">
        <v>347</v>
      </c>
      <c r="E432" t="str">
        <f>IF(VLOOKUP(D432,Couleurs!A:B,2) = 0, "[" &amp; D432 &amp; "]",VLOOKUP(D432,Couleurs!A:B,2))</f>
        <v>[347]</v>
      </c>
      <c r="F432" s="1" t="s">
        <v>1604</v>
      </c>
      <c r="G432">
        <v>2</v>
      </c>
      <c r="H432" t="s">
        <v>1605</v>
      </c>
      <c r="I432" t="s">
        <v>1606</v>
      </c>
      <c r="J432">
        <f t="shared" si="12"/>
        <v>27.84</v>
      </c>
      <c r="K432" t="b">
        <f t="shared" si="13"/>
        <v>1</v>
      </c>
    </row>
    <row r="433" spans="2:11">
      <c r="B433">
        <v>429</v>
      </c>
      <c r="C433" t="s">
        <v>120</v>
      </c>
      <c r="D433">
        <v>480</v>
      </c>
      <c r="E433" t="str">
        <f>IF(VLOOKUP(D433,Couleurs!A:B,2) = 0, "[" &amp; D433 &amp; "]",VLOOKUP(D433,Couleurs!A:B,2))</f>
        <v>[480]</v>
      </c>
      <c r="F433" s="1" t="s">
        <v>255</v>
      </c>
      <c r="G433">
        <v>2</v>
      </c>
      <c r="H433" t="s">
        <v>1662</v>
      </c>
      <c r="I433" t="s">
        <v>1663</v>
      </c>
      <c r="J433">
        <f t="shared" si="12"/>
        <v>21.36</v>
      </c>
      <c r="K433" t="b">
        <f t="shared" si="13"/>
        <v>1</v>
      </c>
    </row>
    <row r="434" spans="2:11">
      <c r="B434">
        <v>430</v>
      </c>
      <c r="C434" t="s">
        <v>21</v>
      </c>
      <c r="D434">
        <v>484</v>
      </c>
      <c r="E434" t="str">
        <f>IF(VLOOKUP(D434,Couleurs!A:B,2) = 0, "[" &amp; D434 &amp; "]",VLOOKUP(D434,Couleurs!A:B,2))</f>
        <v>[484]</v>
      </c>
      <c r="F434" s="1" t="s">
        <v>154</v>
      </c>
      <c r="G434">
        <v>3</v>
      </c>
      <c r="H434" t="s">
        <v>1555</v>
      </c>
      <c r="I434" t="s">
        <v>1565</v>
      </c>
      <c r="J434">
        <f t="shared" si="12"/>
        <v>43.2</v>
      </c>
      <c r="K434" t="b">
        <f t="shared" si="13"/>
        <v>1</v>
      </c>
    </row>
    <row r="435" spans="2:11">
      <c r="B435">
        <v>431</v>
      </c>
      <c r="C435" t="s">
        <v>121</v>
      </c>
      <c r="D435">
        <v>17</v>
      </c>
      <c r="E435" t="str">
        <f>IF(VLOOKUP(D435,Couleurs!A:B,2) = 0, "[" &amp; D435 &amp; "]",VLOOKUP(D435,Couleurs!A:B,2))</f>
        <v>NAVY BLUE</v>
      </c>
      <c r="F435" s="1" t="s">
        <v>256</v>
      </c>
      <c r="G435">
        <v>2</v>
      </c>
      <c r="H435" t="s">
        <v>1635</v>
      </c>
      <c r="I435" t="s">
        <v>1682</v>
      </c>
      <c r="J435">
        <f t="shared" si="12"/>
        <v>51.12</v>
      </c>
      <c r="K435" t="b">
        <f t="shared" si="13"/>
        <v>1</v>
      </c>
    </row>
    <row r="436" spans="2:11">
      <c r="B436">
        <v>432</v>
      </c>
      <c r="C436" t="s">
        <v>109</v>
      </c>
      <c r="D436">
        <v>480</v>
      </c>
      <c r="E436" t="str">
        <f>IF(VLOOKUP(D436,Couleurs!A:B,2) = 0, "[" &amp; D436 &amp; "]",VLOOKUP(D436,Couleurs!A:B,2))</f>
        <v>[480]</v>
      </c>
      <c r="F436" s="1" t="s">
        <v>244</v>
      </c>
      <c r="G436">
        <v>2</v>
      </c>
      <c r="H436" t="s">
        <v>1596</v>
      </c>
      <c r="I436" t="s">
        <v>1597</v>
      </c>
      <c r="J436">
        <f t="shared" si="12"/>
        <v>21.6</v>
      </c>
      <c r="K436" t="b">
        <f t="shared" si="13"/>
        <v>1</v>
      </c>
    </row>
    <row r="437" spans="2:11">
      <c r="B437">
        <v>433</v>
      </c>
      <c r="C437" t="s">
        <v>122</v>
      </c>
      <c r="D437">
        <v>227</v>
      </c>
      <c r="E437" t="str">
        <f>IF(VLOOKUP(D437,Couleurs!A:B,2) = 0, "[" &amp; D437 &amp; "]",VLOOKUP(D437,Couleurs!A:B,2))</f>
        <v>[227]</v>
      </c>
      <c r="F437" s="1" t="s">
        <v>257</v>
      </c>
      <c r="G437">
        <v>2</v>
      </c>
      <c r="H437" t="s">
        <v>1552</v>
      </c>
      <c r="I437" t="s">
        <v>1562</v>
      </c>
      <c r="J437">
        <f t="shared" si="12"/>
        <v>25.44</v>
      </c>
      <c r="K437" t="b">
        <f t="shared" si="13"/>
        <v>1</v>
      </c>
    </row>
    <row r="438" spans="2:11">
      <c r="B438">
        <v>434</v>
      </c>
      <c r="C438" t="s">
        <v>123</v>
      </c>
      <c r="D438">
        <v>254</v>
      </c>
      <c r="E438" t="str">
        <f>IF(VLOOKUP(D438,Couleurs!A:B,2) = 0, "[" &amp; D438 &amp; "]",VLOOKUP(D438,Couleurs!A:B,2))</f>
        <v>[254]</v>
      </c>
      <c r="F438" s="1" t="s">
        <v>258</v>
      </c>
      <c r="G438">
        <v>3</v>
      </c>
      <c r="H438" t="s">
        <v>1596</v>
      </c>
      <c r="I438" t="s">
        <v>1683</v>
      </c>
      <c r="J438">
        <f t="shared" si="12"/>
        <v>32.400000000000006</v>
      </c>
      <c r="K438" t="b">
        <f t="shared" si="13"/>
        <v>1</v>
      </c>
    </row>
    <row r="439" spans="2:11">
      <c r="B439">
        <v>435</v>
      </c>
      <c r="C439" t="s">
        <v>70</v>
      </c>
      <c r="D439">
        <v>76</v>
      </c>
      <c r="E439" t="str">
        <f>IF(VLOOKUP(D439,Couleurs!A:B,2) = 0, "[" &amp; D439 &amp; "]",VLOOKUP(D439,Couleurs!A:B,2))</f>
        <v>[76]</v>
      </c>
      <c r="F439" s="1" t="s">
        <v>206</v>
      </c>
      <c r="G439">
        <v>2</v>
      </c>
      <c r="H439" t="s">
        <v>1563</v>
      </c>
      <c r="I439" t="s">
        <v>1609</v>
      </c>
      <c r="J439">
        <f t="shared" si="12"/>
        <v>23.76</v>
      </c>
      <c r="K439" t="b">
        <f t="shared" si="13"/>
        <v>1</v>
      </c>
    </row>
    <row r="440" spans="2:11">
      <c r="B440">
        <v>436</v>
      </c>
      <c r="C440" t="s">
        <v>73</v>
      </c>
      <c r="D440">
        <v>75</v>
      </c>
      <c r="E440" t="str">
        <f>IF(VLOOKUP(D440,Couleurs!A:B,2) = 0, "[" &amp; D440 &amp; "]",VLOOKUP(D440,Couleurs!A:B,2))</f>
        <v>[75]</v>
      </c>
      <c r="F440" s="1" t="s">
        <v>209</v>
      </c>
      <c r="G440">
        <v>3</v>
      </c>
      <c r="H440" t="s">
        <v>1645</v>
      </c>
      <c r="I440" t="s">
        <v>1646</v>
      </c>
      <c r="J440">
        <f t="shared" si="12"/>
        <v>65.88</v>
      </c>
      <c r="K440" t="b">
        <f t="shared" si="13"/>
        <v>1</v>
      </c>
    </row>
    <row r="441" spans="2:11">
      <c r="B441">
        <v>437</v>
      </c>
      <c r="C441" t="s">
        <v>124</v>
      </c>
      <c r="D441">
        <v>475</v>
      </c>
      <c r="E441" t="str">
        <f>IF(VLOOKUP(D441,Couleurs!A:B,2) = 0, "[" &amp; D441 &amp; "]",VLOOKUP(D441,Couleurs!A:B,2))</f>
        <v>[475]</v>
      </c>
      <c r="F441" s="1" t="s">
        <v>259</v>
      </c>
      <c r="G441">
        <v>2</v>
      </c>
      <c r="H441" t="s">
        <v>1619</v>
      </c>
      <c r="I441" t="s">
        <v>1620</v>
      </c>
      <c r="J441">
        <f t="shared" si="12"/>
        <v>59.76</v>
      </c>
      <c r="K441" t="b">
        <f t="shared" si="13"/>
        <v>1</v>
      </c>
    </row>
    <row r="442" spans="2:11">
      <c r="B442">
        <v>438</v>
      </c>
      <c r="C442" t="s">
        <v>51</v>
      </c>
      <c r="D442">
        <v>55</v>
      </c>
      <c r="E442" t="str">
        <f>IF(VLOOKUP(D442,Couleurs!A:B,2) = 0, "[" &amp; D442 &amp; "]",VLOOKUP(D442,Couleurs!A:B,2))</f>
        <v>BLACK</v>
      </c>
      <c r="F442" s="1" t="s">
        <v>187</v>
      </c>
      <c r="G442">
        <v>5</v>
      </c>
      <c r="H442" t="s">
        <v>1598</v>
      </c>
      <c r="I442" t="s">
        <v>1632</v>
      </c>
      <c r="J442">
        <f t="shared" si="12"/>
        <v>22.799999999999997</v>
      </c>
      <c r="K442" t="b">
        <f t="shared" si="13"/>
        <v>1</v>
      </c>
    </row>
    <row r="443" spans="2:11">
      <c r="B443">
        <v>439</v>
      </c>
      <c r="C443" t="s">
        <v>125</v>
      </c>
      <c r="D443">
        <v>8</v>
      </c>
      <c r="E443" t="str">
        <f>IF(VLOOKUP(D443,Couleurs!A:B,2) = 0, "[" &amp; D443 &amp; "]",VLOOKUP(D443,Couleurs!A:B,2))</f>
        <v>WHITE</v>
      </c>
      <c r="F443" s="1" t="s">
        <v>260</v>
      </c>
      <c r="G443">
        <v>2</v>
      </c>
      <c r="H443" t="s">
        <v>1596</v>
      </c>
      <c r="I443" t="s">
        <v>1597</v>
      </c>
      <c r="J443">
        <f t="shared" si="12"/>
        <v>21.6</v>
      </c>
      <c r="K443" t="b">
        <f t="shared" si="13"/>
        <v>1</v>
      </c>
    </row>
    <row r="444" spans="2:11">
      <c r="B444">
        <v>440</v>
      </c>
      <c r="C444" t="s">
        <v>126</v>
      </c>
      <c r="D444">
        <v>8</v>
      </c>
      <c r="E444" t="str">
        <f>IF(VLOOKUP(D444,Couleurs!A:B,2) = 0, "[" &amp; D444 &amp; "]",VLOOKUP(D444,Couleurs!A:B,2))</f>
        <v>WHITE</v>
      </c>
      <c r="F444" s="1" t="s">
        <v>261</v>
      </c>
      <c r="G444">
        <v>2</v>
      </c>
      <c r="H444" t="s">
        <v>1552</v>
      </c>
      <c r="I444" t="s">
        <v>1562</v>
      </c>
      <c r="J444">
        <f t="shared" si="12"/>
        <v>25.44</v>
      </c>
      <c r="K444" t="b">
        <f t="shared" si="13"/>
        <v>1</v>
      </c>
    </row>
    <row r="445" spans="2:11">
      <c r="B445">
        <v>441</v>
      </c>
      <c r="C445" t="s">
        <v>6</v>
      </c>
      <c r="D445">
        <v>76</v>
      </c>
      <c r="E445" t="str">
        <f>IF(VLOOKUP(D445,Couleurs!A:B,2) = 0, "[" &amp; D445 &amp; "]",VLOOKUP(D445,Couleurs!A:B,2))</f>
        <v>[76]</v>
      </c>
      <c r="F445" s="1" t="s">
        <v>142</v>
      </c>
      <c r="G445">
        <v>2</v>
      </c>
      <c r="H445" t="s">
        <v>1552</v>
      </c>
      <c r="I445" t="s">
        <v>1562</v>
      </c>
      <c r="J445">
        <f t="shared" si="12"/>
        <v>25.44</v>
      </c>
      <c r="K445" t="b">
        <f t="shared" si="13"/>
        <v>1</v>
      </c>
    </row>
    <row r="446" spans="2:11">
      <c r="B446">
        <v>442</v>
      </c>
      <c r="C446" t="s">
        <v>58</v>
      </c>
      <c r="D446">
        <v>130</v>
      </c>
      <c r="E446" t="str">
        <f>IF(VLOOKUP(D446,Couleurs!A:B,2) = 0, "[" &amp; D446 &amp; "]",VLOOKUP(D446,Couleurs!A:B,2))</f>
        <v>[130]</v>
      </c>
      <c r="F446" s="1" t="s">
        <v>194</v>
      </c>
      <c r="G446">
        <v>2</v>
      </c>
      <c r="H446" t="s">
        <v>1596</v>
      </c>
      <c r="I446" t="s">
        <v>1597</v>
      </c>
      <c r="J446">
        <f t="shared" si="12"/>
        <v>21.6</v>
      </c>
      <c r="K446" t="b">
        <f t="shared" si="13"/>
        <v>1</v>
      </c>
    </row>
    <row r="447" spans="2:11">
      <c r="B447">
        <v>443</v>
      </c>
      <c r="C447" t="s">
        <v>104</v>
      </c>
      <c r="D447">
        <v>72</v>
      </c>
      <c r="E447" t="str">
        <f>IF(VLOOKUP(D447,Couleurs!A:B,2) = 0, "[" &amp; D447 &amp; "]",VLOOKUP(D447,Couleurs!A:B,2))</f>
        <v>[72]</v>
      </c>
      <c r="F447" s="1" t="s">
        <v>239</v>
      </c>
      <c r="G447">
        <v>2</v>
      </c>
      <c r="H447" t="s">
        <v>1564</v>
      </c>
      <c r="I447" t="s">
        <v>1569</v>
      </c>
      <c r="J447">
        <f t="shared" si="12"/>
        <v>31.2</v>
      </c>
      <c r="K447" t="b">
        <f t="shared" si="13"/>
        <v>1</v>
      </c>
    </row>
    <row r="448" spans="2:11">
      <c r="B448">
        <v>444</v>
      </c>
      <c r="C448" t="s">
        <v>119</v>
      </c>
      <c r="D448">
        <v>76</v>
      </c>
      <c r="E448" t="str">
        <f>IF(VLOOKUP(D448,Couleurs!A:B,2) = 0, "[" &amp; D448 &amp; "]",VLOOKUP(D448,Couleurs!A:B,2))</f>
        <v>[76]</v>
      </c>
      <c r="F448" s="1" t="s">
        <v>254</v>
      </c>
      <c r="G448">
        <v>2</v>
      </c>
      <c r="H448" t="s">
        <v>1596</v>
      </c>
      <c r="I448" t="s">
        <v>1597</v>
      </c>
      <c r="J448">
        <f t="shared" si="12"/>
        <v>21.6</v>
      </c>
      <c r="K448" t="b">
        <f t="shared" si="13"/>
        <v>1</v>
      </c>
    </row>
    <row r="449" spans="2:11">
      <c r="B449">
        <v>445</v>
      </c>
      <c r="C449" t="s">
        <v>1672</v>
      </c>
      <c r="D449">
        <v>17</v>
      </c>
      <c r="E449" t="str">
        <f>IF(VLOOKUP(D449,Couleurs!A:B,2) = 0, "[" &amp; D449 &amp; "]",VLOOKUP(D449,Couleurs!A:B,2))</f>
        <v>NAVY BLUE</v>
      </c>
      <c r="F449" s="1" t="s">
        <v>1673</v>
      </c>
      <c r="G449">
        <v>2</v>
      </c>
      <c r="H449" t="s">
        <v>1563</v>
      </c>
      <c r="I449" t="s">
        <v>1609</v>
      </c>
      <c r="J449">
        <f t="shared" si="12"/>
        <v>23.76</v>
      </c>
      <c r="K449" t="b">
        <f t="shared" si="13"/>
        <v>1</v>
      </c>
    </row>
    <row r="450" spans="2:11">
      <c r="B450">
        <v>446</v>
      </c>
      <c r="C450" t="s">
        <v>29</v>
      </c>
      <c r="D450">
        <v>26</v>
      </c>
      <c r="E450" t="str">
        <f>IF(VLOOKUP(D450,Couleurs!A:B,2) = 0, "[" &amp; D450 &amp; "]",VLOOKUP(D450,Couleurs!A:B,2))</f>
        <v>[26]</v>
      </c>
      <c r="F450" s="1" t="s">
        <v>162</v>
      </c>
      <c r="G450">
        <v>3</v>
      </c>
      <c r="H450" t="s">
        <v>1584</v>
      </c>
      <c r="I450" t="s">
        <v>1585</v>
      </c>
      <c r="J450">
        <f t="shared" si="12"/>
        <v>21.240000000000002</v>
      </c>
      <c r="K450" t="b">
        <f t="shared" si="13"/>
        <v>1</v>
      </c>
    </row>
    <row r="451" spans="2:11">
      <c r="B451">
        <v>447</v>
      </c>
      <c r="C451" t="s">
        <v>128</v>
      </c>
      <c r="D451">
        <v>61</v>
      </c>
      <c r="E451" t="str">
        <f>IF(VLOOKUP(D451,Couleurs!A:B,2) = 0, "[" &amp; D451 &amp; "]",VLOOKUP(D451,Couleurs!A:B,2))</f>
        <v>GOLD</v>
      </c>
      <c r="F451" s="1" t="s">
        <v>262</v>
      </c>
      <c r="G451">
        <v>2</v>
      </c>
      <c r="H451" t="s">
        <v>1564</v>
      </c>
      <c r="I451" t="s">
        <v>1569</v>
      </c>
      <c r="J451">
        <f t="shared" si="12"/>
        <v>31.2</v>
      </c>
      <c r="K451" t="b">
        <f t="shared" si="13"/>
        <v>1</v>
      </c>
    </row>
    <row r="452" spans="2:11">
      <c r="B452">
        <v>448</v>
      </c>
      <c r="C452" t="s">
        <v>129</v>
      </c>
      <c r="D452">
        <v>125</v>
      </c>
      <c r="E452" t="str">
        <f>IF(VLOOKUP(D452,Couleurs!A:B,2) = 0, "[" &amp; D452 &amp; "]",VLOOKUP(D452,Couleurs!A:B,2))</f>
        <v>[125]</v>
      </c>
      <c r="F452" s="1" t="s">
        <v>263</v>
      </c>
      <c r="G452">
        <v>2</v>
      </c>
      <c r="H452" t="s">
        <v>1573</v>
      </c>
      <c r="I452" t="s">
        <v>1653</v>
      </c>
      <c r="J452">
        <f t="shared" si="12"/>
        <v>19.2</v>
      </c>
      <c r="K452" t="b">
        <f t="shared" si="13"/>
        <v>1</v>
      </c>
    </row>
    <row r="453" spans="2:11">
      <c r="B453">
        <v>449</v>
      </c>
      <c r="C453" t="s">
        <v>130</v>
      </c>
      <c r="D453">
        <v>55</v>
      </c>
      <c r="E453" t="str">
        <f>IF(VLOOKUP(D453,Couleurs!A:B,2) = 0, "[" &amp; D453 &amp; "]",VLOOKUP(D453,Couleurs!A:B,2))</f>
        <v>BLACK</v>
      </c>
      <c r="F453" s="1" t="s">
        <v>264</v>
      </c>
      <c r="G453">
        <v>3</v>
      </c>
      <c r="H453" t="s">
        <v>1566</v>
      </c>
      <c r="I453" t="s">
        <v>1597</v>
      </c>
      <c r="J453">
        <f t="shared" si="12"/>
        <v>21.6</v>
      </c>
      <c r="K453" t="b">
        <f t="shared" ref="K453:K516" si="14">(0+I453)=J453</f>
        <v>1</v>
      </c>
    </row>
    <row r="454" spans="2:11">
      <c r="B454">
        <v>450</v>
      </c>
      <c r="C454" t="s">
        <v>50</v>
      </c>
      <c r="D454">
        <v>55</v>
      </c>
      <c r="E454" t="str">
        <f>IF(VLOOKUP(D454,Couleurs!A:B,2) = 0, "[" &amp; D454 &amp; "]",VLOOKUP(D454,Couleurs!A:B,2))</f>
        <v>BLACK</v>
      </c>
      <c r="F454" s="1" t="s">
        <v>186</v>
      </c>
      <c r="G454">
        <v>3</v>
      </c>
      <c r="H454" t="s">
        <v>1564</v>
      </c>
      <c r="I454" t="s">
        <v>1629</v>
      </c>
      <c r="J454">
        <f t="shared" si="12"/>
        <v>46.8</v>
      </c>
      <c r="K454" t="b">
        <f t="shared" si="14"/>
        <v>1</v>
      </c>
    </row>
    <row r="455" spans="2:11">
      <c r="B455">
        <v>451</v>
      </c>
      <c r="C455" t="s">
        <v>2</v>
      </c>
      <c r="D455">
        <v>55</v>
      </c>
      <c r="E455" t="str">
        <f>IF(VLOOKUP(D455,Couleurs!A:B,2) = 0, "[" &amp; D455 &amp; "]",VLOOKUP(D455,Couleurs!A:B,2))</f>
        <v>BLACK</v>
      </c>
      <c r="F455" s="1" t="s">
        <v>138</v>
      </c>
      <c r="G455">
        <v>3</v>
      </c>
      <c r="H455" t="s">
        <v>1554</v>
      </c>
      <c r="I455" t="s">
        <v>1555</v>
      </c>
      <c r="J455">
        <f t="shared" si="12"/>
        <v>14.399999999999999</v>
      </c>
      <c r="K455" t="b">
        <f t="shared" si="14"/>
        <v>1</v>
      </c>
    </row>
    <row r="456" spans="2:11">
      <c r="B456">
        <v>452</v>
      </c>
      <c r="C456" t="s">
        <v>120</v>
      </c>
      <c r="D456">
        <v>481</v>
      </c>
      <c r="E456" t="str">
        <f>IF(VLOOKUP(D456,Couleurs!A:B,2) = 0, "[" &amp; D456 &amp; "]",VLOOKUP(D456,Couleurs!A:B,2))</f>
        <v>[481]</v>
      </c>
      <c r="F456" s="1" t="s">
        <v>255</v>
      </c>
      <c r="G456">
        <v>2</v>
      </c>
      <c r="H456" t="s">
        <v>1662</v>
      </c>
      <c r="I456" t="s">
        <v>1663</v>
      </c>
      <c r="J456">
        <f t="shared" si="12"/>
        <v>21.36</v>
      </c>
      <c r="K456" t="b">
        <f t="shared" si="14"/>
        <v>1</v>
      </c>
    </row>
    <row r="457" spans="2:11">
      <c r="B457">
        <v>453</v>
      </c>
      <c r="C457" t="s">
        <v>9</v>
      </c>
      <c r="D457">
        <v>371</v>
      </c>
      <c r="E457" t="str">
        <f>IF(VLOOKUP(D457,Couleurs!A:B,2) = 0, "[" &amp; D457 &amp; "]",VLOOKUP(D457,Couleurs!A:B,2))</f>
        <v>MILK</v>
      </c>
      <c r="F457" s="1" t="s">
        <v>145</v>
      </c>
      <c r="G457">
        <v>3</v>
      </c>
      <c r="H457" t="s">
        <v>1555</v>
      </c>
      <c r="I457" t="s">
        <v>1565</v>
      </c>
      <c r="J457">
        <f t="shared" si="12"/>
        <v>43.2</v>
      </c>
      <c r="K457" t="b">
        <f t="shared" si="14"/>
        <v>1</v>
      </c>
    </row>
  </sheetData>
  <conditionalFormatting sqref="K5">
    <cfRule type="cellIs" dxfId="89" priority="2" operator="equal">
      <formula>FALSE</formula>
    </cfRule>
  </conditionalFormatting>
  <conditionalFormatting sqref="K5">
    <cfRule type="cellIs" dxfId="88" priority="1" operator="equal">
      <formula>FALSE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traitInfosProforma">
                <anchor moveWithCells="1" sizeWithCells="1">
                  <from>
                    <xdr:col>7</xdr:col>
                    <xdr:colOff>88900</xdr:colOff>
                    <xdr:row>0</xdr:row>
                    <xdr:rowOff>139700</xdr:rowOff>
                  </from>
                  <to>
                    <xdr:col>8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 enableFormatConditionsCalculation="0"/>
  <dimension ref="A1:V459"/>
  <sheetViews>
    <sheetView workbookViewId="0">
      <selection activeCell="D10" sqref="D10"/>
    </sheetView>
  </sheetViews>
  <sheetFormatPr baseColWidth="10" defaultRowHeight="14" x14ac:dyDescent="0"/>
  <cols>
    <col min="1" max="1" width="14.33203125" customWidth="1"/>
    <col min="4" max="4" width="17.83203125" bestFit="1" customWidth="1"/>
    <col min="5" max="5" width="13.33203125" style="16" bestFit="1" customWidth="1"/>
    <col min="6" max="6" width="6.33203125" customWidth="1"/>
    <col min="7" max="7" width="4.5" customWidth="1"/>
    <col min="8" max="8" width="3.33203125" bestFit="1" customWidth="1"/>
    <col min="9" max="9" width="4.83203125" bestFit="1" customWidth="1"/>
    <col min="10" max="10" width="23" customWidth="1"/>
    <col min="11" max="11" width="13.33203125" bestFit="1" customWidth="1"/>
    <col min="13" max="13" width="13.33203125" bestFit="1" customWidth="1"/>
    <col min="15" max="15" width="13.33203125" bestFit="1" customWidth="1"/>
    <col min="17" max="17" width="13.33203125" bestFit="1" customWidth="1"/>
  </cols>
  <sheetData>
    <row r="1" spans="1:22">
      <c r="J1" t="s">
        <v>369</v>
      </c>
      <c r="K1" s="16">
        <f>COUNTA(E:E)-1</f>
        <v>453</v>
      </c>
    </row>
    <row r="2" spans="1:22">
      <c r="A2" t="s">
        <v>315</v>
      </c>
      <c r="J2" t="s">
        <v>370</v>
      </c>
      <c r="K2" s="16">
        <f>COUNTIF(E:E,"&gt;0")-1</f>
        <v>361</v>
      </c>
    </row>
    <row r="3" spans="1:22">
      <c r="A3" s="15" t="s">
        <v>314</v>
      </c>
      <c r="J3" t="s">
        <v>2105</v>
      </c>
      <c r="K3">
        <f>COUNTIF(E:E,"Vide")</f>
        <v>70</v>
      </c>
    </row>
    <row r="4" spans="1:22">
      <c r="J4" t="s">
        <v>368</v>
      </c>
      <c r="K4">
        <f>COUNTIF(E:E,"Inconnu")</f>
        <v>21</v>
      </c>
    </row>
    <row r="6" spans="1:22">
      <c r="A6" t="s">
        <v>265</v>
      </c>
      <c r="B6" t="s">
        <v>319</v>
      </c>
      <c r="D6" t="s">
        <v>320</v>
      </c>
      <c r="E6" s="16" t="s">
        <v>323</v>
      </c>
      <c r="F6" t="s">
        <v>266</v>
      </c>
      <c r="G6" t="s">
        <v>372</v>
      </c>
      <c r="H6" t="s">
        <v>371</v>
      </c>
      <c r="I6" t="s">
        <v>328</v>
      </c>
      <c r="J6" t="s">
        <v>322</v>
      </c>
      <c r="K6" t="s">
        <v>321</v>
      </c>
      <c r="L6" t="s">
        <v>317</v>
      </c>
      <c r="M6" t="s">
        <v>321</v>
      </c>
      <c r="N6" t="s">
        <v>316</v>
      </c>
      <c r="O6" t="s">
        <v>321</v>
      </c>
      <c r="P6" t="s">
        <v>324</v>
      </c>
      <c r="Q6" t="s">
        <v>321</v>
      </c>
      <c r="R6" t="s">
        <v>325</v>
      </c>
      <c r="S6" t="s">
        <v>321</v>
      </c>
      <c r="T6" t="s">
        <v>326</v>
      </c>
      <c r="U6" t="s">
        <v>321</v>
      </c>
      <c r="V6" t="s">
        <v>327</v>
      </c>
    </row>
    <row r="7" spans="1:22">
      <c r="A7" t="s">
        <v>0</v>
      </c>
      <c r="B7">
        <v>26</v>
      </c>
      <c r="D7" t="s">
        <v>1684</v>
      </c>
      <c r="E7" s="16">
        <v>8050846003620</v>
      </c>
      <c r="F7">
        <v>3</v>
      </c>
      <c r="H7">
        <v>1</v>
      </c>
      <c r="I7">
        <v>92</v>
      </c>
      <c r="J7" t="s">
        <v>325</v>
      </c>
      <c r="K7" s="17"/>
      <c r="M7" s="17"/>
      <c r="Q7" s="17">
        <v>8050846003620</v>
      </c>
      <c r="R7">
        <v>92</v>
      </c>
    </row>
    <row r="8" spans="1:22">
      <c r="A8" t="s">
        <v>1</v>
      </c>
      <c r="B8">
        <v>76</v>
      </c>
      <c r="D8" t="s">
        <v>1685</v>
      </c>
      <c r="E8" s="16">
        <v>8050846004580</v>
      </c>
      <c r="F8">
        <v>4</v>
      </c>
      <c r="H8">
        <v>1</v>
      </c>
      <c r="I8">
        <v>34</v>
      </c>
      <c r="J8" t="s">
        <v>325</v>
      </c>
      <c r="K8" s="17"/>
      <c r="M8" s="17"/>
      <c r="O8" s="17"/>
      <c r="Q8" s="17">
        <v>8050846004580</v>
      </c>
      <c r="R8">
        <v>34</v>
      </c>
      <c r="S8" s="17"/>
      <c r="U8" s="17"/>
    </row>
    <row r="9" spans="1:22">
      <c r="A9" t="s">
        <v>2</v>
      </c>
      <c r="B9">
        <v>347</v>
      </c>
      <c r="D9" t="s">
        <v>1686</v>
      </c>
      <c r="E9" s="16">
        <v>8050846006294</v>
      </c>
      <c r="F9">
        <v>3</v>
      </c>
      <c r="H9">
        <v>1</v>
      </c>
      <c r="I9">
        <v>17</v>
      </c>
      <c r="J9" t="s">
        <v>325</v>
      </c>
      <c r="Q9" s="17">
        <v>8050846006294</v>
      </c>
      <c r="R9">
        <v>17</v>
      </c>
    </row>
    <row r="10" spans="1:22">
      <c r="A10" t="s">
        <v>3</v>
      </c>
      <c r="B10">
        <v>470</v>
      </c>
      <c r="D10" t="s">
        <v>1687</v>
      </c>
      <c r="E10" s="16">
        <v>8050846003125</v>
      </c>
      <c r="F10">
        <v>2</v>
      </c>
      <c r="H10">
        <v>1</v>
      </c>
      <c r="I10">
        <v>51</v>
      </c>
      <c r="J10" t="s">
        <v>325</v>
      </c>
      <c r="K10" s="17"/>
      <c r="M10" s="17"/>
      <c r="O10" s="17"/>
      <c r="Q10" s="17">
        <v>8050846003125</v>
      </c>
      <c r="R10">
        <v>51</v>
      </c>
      <c r="S10" s="17"/>
      <c r="U10" s="17"/>
    </row>
    <row r="11" spans="1:22">
      <c r="A11" t="s">
        <v>4</v>
      </c>
      <c r="B11">
        <v>422</v>
      </c>
      <c r="D11" t="s">
        <v>1688</v>
      </c>
      <c r="E11" s="16">
        <v>8050846003088</v>
      </c>
      <c r="F11">
        <v>2</v>
      </c>
      <c r="H11">
        <v>1</v>
      </c>
      <c r="I11">
        <v>48</v>
      </c>
      <c r="J11" t="s">
        <v>325</v>
      </c>
      <c r="K11" s="17"/>
      <c r="M11" s="17"/>
      <c r="O11" s="17"/>
      <c r="Q11" s="17">
        <v>8050846003088</v>
      </c>
      <c r="R11">
        <v>48</v>
      </c>
      <c r="S11" s="17"/>
      <c r="U11" s="17"/>
    </row>
    <row r="12" spans="1:22">
      <c r="A12" t="s">
        <v>5</v>
      </c>
      <c r="B12">
        <v>347</v>
      </c>
      <c r="D12" t="s">
        <v>1689</v>
      </c>
      <c r="E12" s="16">
        <v>8050846002142</v>
      </c>
      <c r="F12">
        <v>2</v>
      </c>
      <c r="H12">
        <v>1</v>
      </c>
      <c r="I12">
        <v>108</v>
      </c>
      <c r="J12" t="s">
        <v>325</v>
      </c>
      <c r="K12" s="17"/>
      <c r="M12" s="17"/>
      <c r="O12" s="17"/>
      <c r="Q12" s="17">
        <v>8050846002142</v>
      </c>
      <c r="R12">
        <v>108</v>
      </c>
      <c r="S12" s="17"/>
      <c r="U12" s="17"/>
    </row>
    <row r="13" spans="1:22">
      <c r="A13" t="s">
        <v>6</v>
      </c>
      <c r="B13">
        <v>422</v>
      </c>
      <c r="D13" t="s">
        <v>1690</v>
      </c>
      <c r="E13" s="16">
        <v>8050846002432</v>
      </c>
      <c r="F13">
        <v>2</v>
      </c>
      <c r="H13">
        <v>1</v>
      </c>
      <c r="I13">
        <v>131</v>
      </c>
      <c r="J13" t="s">
        <v>325</v>
      </c>
      <c r="K13" s="17"/>
      <c r="M13" s="17"/>
      <c r="O13" s="17"/>
      <c r="Q13" s="17">
        <v>8050846002432</v>
      </c>
      <c r="R13">
        <v>131</v>
      </c>
      <c r="S13" s="17"/>
      <c r="U13" s="17"/>
    </row>
    <row r="14" spans="1:22">
      <c r="A14" t="s">
        <v>7</v>
      </c>
      <c r="B14">
        <v>8</v>
      </c>
      <c r="D14" t="s">
        <v>1691</v>
      </c>
      <c r="E14" s="16">
        <v>8050846003194</v>
      </c>
      <c r="F14">
        <v>6</v>
      </c>
      <c r="H14">
        <v>1</v>
      </c>
      <c r="I14">
        <v>53</v>
      </c>
      <c r="J14" t="s">
        <v>325</v>
      </c>
      <c r="K14" s="17"/>
      <c r="M14" s="17"/>
      <c r="O14" s="17"/>
      <c r="Q14" s="17">
        <v>8050846003194</v>
      </c>
      <c r="R14">
        <v>53</v>
      </c>
      <c r="S14" s="17"/>
      <c r="U14" s="17"/>
    </row>
    <row r="15" spans="1:22">
      <c r="A15" t="s">
        <v>8</v>
      </c>
      <c r="B15">
        <v>36</v>
      </c>
      <c r="D15" t="s">
        <v>1692</v>
      </c>
      <c r="E15" s="16">
        <v>8050846002722</v>
      </c>
      <c r="F15">
        <v>2</v>
      </c>
      <c r="H15">
        <v>1</v>
      </c>
      <c r="I15">
        <v>158</v>
      </c>
      <c r="J15" t="s">
        <v>325</v>
      </c>
      <c r="K15" s="17"/>
      <c r="M15" s="17"/>
      <c r="O15" s="17"/>
      <c r="Q15" s="17">
        <v>8050846002722</v>
      </c>
      <c r="R15">
        <v>158</v>
      </c>
      <c r="S15" s="17"/>
      <c r="U15" s="17"/>
    </row>
    <row r="16" spans="1:22">
      <c r="A16" t="s">
        <v>9</v>
      </c>
      <c r="B16">
        <v>26</v>
      </c>
      <c r="D16" t="s">
        <v>1693</v>
      </c>
      <c r="E16" s="16">
        <v>8050846004450</v>
      </c>
      <c r="F16">
        <v>3</v>
      </c>
      <c r="H16">
        <v>1</v>
      </c>
      <c r="I16">
        <v>20</v>
      </c>
      <c r="J16" t="s">
        <v>325</v>
      </c>
      <c r="K16" s="17"/>
      <c r="M16" s="17"/>
      <c r="O16" s="17"/>
      <c r="Q16" s="17">
        <v>8050846004450</v>
      </c>
      <c r="R16">
        <v>20</v>
      </c>
      <c r="S16" s="17"/>
      <c r="U16" s="17"/>
    </row>
    <row r="17" spans="1:21">
      <c r="A17" t="s">
        <v>10</v>
      </c>
      <c r="B17">
        <v>479</v>
      </c>
      <c r="D17" t="s">
        <v>1694</v>
      </c>
      <c r="E17" s="16">
        <v>8050846005648</v>
      </c>
      <c r="F17">
        <v>2</v>
      </c>
      <c r="H17">
        <v>1</v>
      </c>
      <c r="I17">
        <v>54</v>
      </c>
      <c r="J17" t="s">
        <v>325</v>
      </c>
      <c r="K17" s="17"/>
      <c r="M17" s="17"/>
      <c r="O17" s="17"/>
      <c r="Q17" s="17">
        <v>8050846005648</v>
      </c>
      <c r="R17">
        <v>54</v>
      </c>
      <c r="S17" s="17"/>
      <c r="U17" s="17"/>
    </row>
    <row r="18" spans="1:21">
      <c r="A18" t="s">
        <v>11</v>
      </c>
      <c r="B18">
        <v>481</v>
      </c>
      <c r="D18" t="s">
        <v>1695</v>
      </c>
      <c r="E18" s="16">
        <v>8050846003972</v>
      </c>
      <c r="F18">
        <v>2</v>
      </c>
      <c r="H18">
        <v>1</v>
      </c>
      <c r="I18">
        <v>111</v>
      </c>
      <c r="J18" t="s">
        <v>325</v>
      </c>
      <c r="K18" s="17"/>
      <c r="M18" s="17"/>
      <c r="O18" s="17"/>
      <c r="Q18" s="17">
        <v>8050846003972</v>
      </c>
      <c r="R18">
        <v>111</v>
      </c>
      <c r="S18" s="17"/>
      <c r="U18" s="17"/>
    </row>
    <row r="19" spans="1:21">
      <c r="A19" t="s">
        <v>5</v>
      </c>
      <c r="B19">
        <v>26</v>
      </c>
      <c r="D19" t="s">
        <v>1696</v>
      </c>
      <c r="E19" s="16">
        <v>8050846003927</v>
      </c>
      <c r="F19">
        <v>2</v>
      </c>
      <c r="H19">
        <v>1</v>
      </c>
      <c r="I19">
        <v>108</v>
      </c>
      <c r="J19" t="s">
        <v>325</v>
      </c>
      <c r="K19" s="17"/>
      <c r="M19" s="17"/>
      <c r="O19" s="17"/>
      <c r="Q19" s="17">
        <v>8050846003927</v>
      </c>
      <c r="R19">
        <v>108</v>
      </c>
      <c r="S19" s="17"/>
      <c r="U19" s="17"/>
    </row>
    <row r="20" spans="1:21">
      <c r="A20" t="s">
        <v>12</v>
      </c>
      <c r="B20">
        <v>17</v>
      </c>
      <c r="D20" t="s">
        <v>1697</v>
      </c>
      <c r="E20" s="16">
        <v>8050846007642</v>
      </c>
      <c r="F20">
        <v>3</v>
      </c>
      <c r="H20">
        <v>1</v>
      </c>
      <c r="I20">
        <v>164</v>
      </c>
      <c r="J20" t="s">
        <v>325</v>
      </c>
      <c r="K20" s="17"/>
      <c r="M20" s="17"/>
      <c r="O20" s="17"/>
      <c r="Q20" s="17">
        <v>8050846007642</v>
      </c>
      <c r="R20">
        <v>164</v>
      </c>
      <c r="S20" s="17"/>
      <c r="U20" s="17"/>
    </row>
    <row r="21" spans="1:21">
      <c r="A21" t="s">
        <v>1567</v>
      </c>
      <c r="B21">
        <v>26</v>
      </c>
      <c r="D21" t="s">
        <v>1698</v>
      </c>
      <c r="E21" s="16">
        <v>8050846007406</v>
      </c>
      <c r="F21">
        <v>3</v>
      </c>
      <c r="H21">
        <v>1</v>
      </c>
      <c r="I21">
        <v>240</v>
      </c>
      <c r="J21" t="s">
        <v>325</v>
      </c>
      <c r="K21" s="17"/>
      <c r="M21" s="17"/>
      <c r="O21" s="17"/>
      <c r="Q21" s="17">
        <v>8050846007406</v>
      </c>
      <c r="R21">
        <v>240</v>
      </c>
      <c r="S21" s="17"/>
      <c r="U21" s="17"/>
    </row>
    <row r="22" spans="1:21">
      <c r="A22" t="s">
        <v>16</v>
      </c>
      <c r="B22">
        <v>61</v>
      </c>
      <c r="D22" t="s">
        <v>330</v>
      </c>
      <c r="E22" s="16" t="s">
        <v>2211</v>
      </c>
      <c r="F22">
        <v>2</v>
      </c>
      <c r="H22">
        <v>0</v>
      </c>
      <c r="K22" s="17"/>
      <c r="M22" s="17"/>
      <c r="O22" s="17"/>
      <c r="Q22" s="17"/>
      <c r="S22" s="17"/>
      <c r="U22" s="17"/>
    </row>
    <row r="23" spans="1:21">
      <c r="A23" t="s">
        <v>17</v>
      </c>
      <c r="B23">
        <v>75</v>
      </c>
      <c r="D23" t="s">
        <v>1699</v>
      </c>
      <c r="E23" s="16">
        <v>8050846007680</v>
      </c>
      <c r="F23">
        <v>3</v>
      </c>
      <c r="H23">
        <v>1</v>
      </c>
      <c r="I23">
        <v>166</v>
      </c>
      <c r="J23" t="s">
        <v>325</v>
      </c>
      <c r="K23" s="17"/>
      <c r="M23" s="17"/>
      <c r="O23" s="17"/>
      <c r="Q23" s="17">
        <v>8050846007680</v>
      </c>
      <c r="R23">
        <v>166</v>
      </c>
      <c r="S23" s="17"/>
      <c r="U23" s="17"/>
    </row>
    <row r="24" spans="1:21">
      <c r="A24" t="s">
        <v>17</v>
      </c>
      <c r="B24">
        <v>130</v>
      </c>
      <c r="D24" t="s">
        <v>333</v>
      </c>
      <c r="E24" s="16">
        <v>8050846007697</v>
      </c>
      <c r="F24">
        <v>3</v>
      </c>
      <c r="H24">
        <v>1</v>
      </c>
      <c r="I24">
        <v>166</v>
      </c>
      <c r="J24" t="s">
        <v>325</v>
      </c>
      <c r="K24" s="17"/>
      <c r="M24" s="17"/>
      <c r="O24" s="17"/>
      <c r="Q24" s="17">
        <v>8050846007697</v>
      </c>
      <c r="R24">
        <v>166</v>
      </c>
      <c r="S24" s="17"/>
      <c r="U24" s="17"/>
    </row>
    <row r="25" spans="1:21">
      <c r="A25" t="s">
        <v>18</v>
      </c>
      <c r="B25">
        <v>76</v>
      </c>
      <c r="D25" t="s">
        <v>1700</v>
      </c>
      <c r="E25" s="16">
        <v>8050846004597</v>
      </c>
      <c r="F25">
        <v>2</v>
      </c>
      <c r="H25">
        <v>1</v>
      </c>
      <c r="I25">
        <v>142</v>
      </c>
      <c r="J25" t="s">
        <v>325</v>
      </c>
      <c r="K25" s="17"/>
      <c r="M25" s="17"/>
      <c r="O25" s="17"/>
      <c r="Q25" s="17">
        <v>8050846004597</v>
      </c>
      <c r="R25">
        <v>142</v>
      </c>
      <c r="S25" s="17"/>
      <c r="U25" s="17"/>
    </row>
    <row r="26" spans="1:21">
      <c r="A26" t="s">
        <v>19</v>
      </c>
      <c r="B26">
        <v>371</v>
      </c>
      <c r="D26" t="s">
        <v>1701</v>
      </c>
      <c r="E26" s="16" t="s">
        <v>2212</v>
      </c>
      <c r="F26">
        <v>3</v>
      </c>
      <c r="H26">
        <v>1</v>
      </c>
      <c r="I26">
        <v>160</v>
      </c>
      <c r="J26" t="s">
        <v>325</v>
      </c>
      <c r="Q26" s="17"/>
      <c r="R26">
        <v>160</v>
      </c>
    </row>
    <row r="27" spans="1:21">
      <c r="A27" t="s">
        <v>20</v>
      </c>
      <c r="B27">
        <v>55</v>
      </c>
      <c r="D27" t="s">
        <v>1702</v>
      </c>
      <c r="E27" s="16">
        <v>8056099170676</v>
      </c>
      <c r="F27">
        <v>10</v>
      </c>
      <c r="H27">
        <v>2</v>
      </c>
      <c r="I27">
        <v>33</v>
      </c>
      <c r="J27" t="s">
        <v>316</v>
      </c>
      <c r="K27" s="17"/>
      <c r="M27" s="17">
        <v>8056099170676</v>
      </c>
      <c r="N27" t="s">
        <v>1703</v>
      </c>
      <c r="O27" s="17"/>
      <c r="Q27" s="17">
        <v>8056099170676</v>
      </c>
      <c r="R27">
        <v>66</v>
      </c>
      <c r="S27" s="17"/>
      <c r="U27" s="17"/>
    </row>
    <row r="28" spans="1:21">
      <c r="A28" t="s">
        <v>21</v>
      </c>
      <c r="B28">
        <v>76</v>
      </c>
      <c r="D28" t="s">
        <v>339</v>
      </c>
      <c r="E28" s="16">
        <v>8051770308508</v>
      </c>
      <c r="F28">
        <v>3</v>
      </c>
      <c r="H28">
        <v>1</v>
      </c>
      <c r="I28">
        <v>4</v>
      </c>
      <c r="J28" t="s">
        <v>325</v>
      </c>
      <c r="K28" s="17"/>
      <c r="M28" s="17"/>
      <c r="O28" s="17"/>
      <c r="Q28" s="17">
        <v>8051770308508</v>
      </c>
      <c r="R28">
        <v>4</v>
      </c>
      <c r="S28" s="17"/>
      <c r="U28" s="17"/>
    </row>
    <row r="29" spans="1:21">
      <c r="A29" t="s">
        <v>22</v>
      </c>
      <c r="B29">
        <v>158</v>
      </c>
      <c r="D29" t="s">
        <v>1704</v>
      </c>
      <c r="E29" s="16" t="s">
        <v>2212</v>
      </c>
      <c r="F29">
        <v>1</v>
      </c>
      <c r="H29">
        <v>1</v>
      </c>
      <c r="I29">
        <v>6</v>
      </c>
      <c r="J29" t="s">
        <v>324</v>
      </c>
      <c r="K29" s="17"/>
      <c r="M29" s="17"/>
      <c r="O29" s="17"/>
      <c r="P29">
        <v>6</v>
      </c>
      <c r="Q29" s="17"/>
      <c r="S29" s="17"/>
      <c r="U29" s="17"/>
    </row>
    <row r="30" spans="1:21">
      <c r="A30" t="s">
        <v>23</v>
      </c>
      <c r="B30">
        <v>158</v>
      </c>
      <c r="D30" t="s">
        <v>1705</v>
      </c>
      <c r="E30" s="16" t="s">
        <v>2212</v>
      </c>
      <c r="F30">
        <v>1</v>
      </c>
      <c r="H30">
        <v>1</v>
      </c>
      <c r="I30">
        <v>7</v>
      </c>
      <c r="J30" t="s">
        <v>324</v>
      </c>
      <c r="K30" s="17"/>
      <c r="M30" s="17"/>
      <c r="O30" s="17"/>
      <c r="P30">
        <v>7</v>
      </c>
      <c r="Q30" s="17"/>
      <c r="S30" s="17"/>
      <c r="U30" s="17"/>
    </row>
    <row r="31" spans="1:21">
      <c r="A31" t="s">
        <v>24</v>
      </c>
      <c r="B31">
        <v>78</v>
      </c>
      <c r="D31" t="s">
        <v>1706</v>
      </c>
      <c r="E31" s="16">
        <v>8050450215655</v>
      </c>
      <c r="F31">
        <v>1</v>
      </c>
      <c r="H31">
        <v>2</v>
      </c>
      <c r="I31">
        <v>9</v>
      </c>
      <c r="J31" t="s">
        <v>317</v>
      </c>
      <c r="K31" s="17">
        <v>8050450215655</v>
      </c>
      <c r="L31" t="s">
        <v>342</v>
      </c>
      <c r="M31" s="17"/>
      <c r="O31" s="17"/>
      <c r="P31">
        <v>10</v>
      </c>
      <c r="Q31" s="17"/>
      <c r="S31" s="17"/>
      <c r="U31" s="17"/>
    </row>
    <row r="32" spans="1:21">
      <c r="A32" t="s">
        <v>24</v>
      </c>
      <c r="B32">
        <v>133</v>
      </c>
      <c r="D32" t="s">
        <v>1707</v>
      </c>
      <c r="E32" s="16" t="s">
        <v>2212</v>
      </c>
      <c r="F32">
        <v>1</v>
      </c>
      <c r="H32">
        <v>1</v>
      </c>
      <c r="I32">
        <v>10</v>
      </c>
      <c r="J32" t="s">
        <v>324</v>
      </c>
      <c r="K32" s="17"/>
      <c r="M32" s="17"/>
      <c r="O32" s="17"/>
      <c r="P32">
        <v>10</v>
      </c>
      <c r="Q32" s="17"/>
      <c r="S32" s="17"/>
      <c r="U32" s="17"/>
    </row>
    <row r="33" spans="1:21">
      <c r="A33" t="s">
        <v>25</v>
      </c>
      <c r="B33">
        <v>158</v>
      </c>
      <c r="D33" t="s">
        <v>1708</v>
      </c>
      <c r="E33" s="16">
        <v>8056099177927</v>
      </c>
      <c r="F33">
        <v>2</v>
      </c>
      <c r="H33">
        <v>1</v>
      </c>
      <c r="I33">
        <v>8</v>
      </c>
      <c r="J33" t="s">
        <v>324</v>
      </c>
      <c r="K33" s="17"/>
      <c r="M33" s="17"/>
      <c r="O33" s="17">
        <v>8056099177927</v>
      </c>
      <c r="P33">
        <v>8</v>
      </c>
      <c r="Q33" s="17"/>
      <c r="S33" s="17"/>
      <c r="U33" s="17"/>
    </row>
    <row r="34" spans="1:21">
      <c r="A34" t="s">
        <v>26</v>
      </c>
      <c r="B34">
        <v>75</v>
      </c>
      <c r="D34" t="s">
        <v>1709</v>
      </c>
      <c r="E34" s="16">
        <v>8050450218342</v>
      </c>
      <c r="F34">
        <v>3</v>
      </c>
      <c r="H34">
        <v>1</v>
      </c>
      <c r="I34">
        <v>6</v>
      </c>
      <c r="J34" t="s">
        <v>325</v>
      </c>
      <c r="K34" s="17"/>
      <c r="M34" s="17"/>
      <c r="O34" s="17"/>
      <c r="Q34" s="17">
        <v>8050450218342</v>
      </c>
      <c r="R34">
        <v>6</v>
      </c>
      <c r="S34" s="17"/>
      <c r="U34" s="17"/>
    </row>
    <row r="35" spans="1:21">
      <c r="A35" t="s">
        <v>26</v>
      </c>
      <c r="B35">
        <v>422</v>
      </c>
      <c r="D35" t="s">
        <v>1710</v>
      </c>
      <c r="E35" s="16" t="s">
        <v>2212</v>
      </c>
      <c r="F35">
        <v>3</v>
      </c>
      <c r="H35">
        <v>2</v>
      </c>
      <c r="I35">
        <v>6</v>
      </c>
      <c r="J35" t="s">
        <v>316</v>
      </c>
      <c r="K35" s="17"/>
      <c r="M35" s="17" t="s">
        <v>347</v>
      </c>
      <c r="N35" t="s">
        <v>1711</v>
      </c>
      <c r="O35" s="17"/>
      <c r="Q35" s="17">
        <v>8050846006553</v>
      </c>
      <c r="R35">
        <v>6</v>
      </c>
      <c r="S35" s="17"/>
      <c r="U35" s="17"/>
    </row>
    <row r="36" spans="1:21">
      <c r="A36" t="s">
        <v>1577</v>
      </c>
      <c r="B36">
        <v>55</v>
      </c>
      <c r="D36" t="s">
        <v>1712</v>
      </c>
      <c r="E36" s="16">
        <v>8050538597949</v>
      </c>
      <c r="F36">
        <v>3</v>
      </c>
      <c r="H36">
        <v>2</v>
      </c>
      <c r="I36">
        <v>36</v>
      </c>
      <c r="J36" t="s">
        <v>317</v>
      </c>
      <c r="K36" s="17">
        <v>8050538597949</v>
      </c>
      <c r="L36" t="s">
        <v>1713</v>
      </c>
      <c r="M36" s="17"/>
      <c r="O36" s="17"/>
      <c r="Q36" s="17"/>
      <c r="R36">
        <v>122</v>
      </c>
      <c r="S36" s="17"/>
      <c r="U36" s="17"/>
    </row>
    <row r="37" spans="1:21">
      <c r="A37" t="s">
        <v>23</v>
      </c>
      <c r="B37">
        <v>422</v>
      </c>
      <c r="D37" t="s">
        <v>1714</v>
      </c>
      <c r="E37" s="16">
        <v>8058983596418</v>
      </c>
      <c r="F37">
        <v>2</v>
      </c>
      <c r="H37">
        <v>2</v>
      </c>
      <c r="I37">
        <v>10</v>
      </c>
      <c r="J37" t="s">
        <v>316</v>
      </c>
      <c r="K37" s="17"/>
      <c r="M37" s="17">
        <v>8058983596418</v>
      </c>
      <c r="N37" t="s">
        <v>1715</v>
      </c>
      <c r="O37" s="17"/>
      <c r="Q37" s="17">
        <v>8050846006645</v>
      </c>
      <c r="R37">
        <v>10</v>
      </c>
      <c r="S37" s="17"/>
      <c r="U37" s="17"/>
    </row>
    <row r="38" spans="1:21">
      <c r="A38" t="s">
        <v>1579</v>
      </c>
      <c r="B38">
        <v>26</v>
      </c>
      <c r="D38" t="s">
        <v>1716</v>
      </c>
      <c r="E38" s="16">
        <v>8050846007291</v>
      </c>
      <c r="F38">
        <v>3</v>
      </c>
      <c r="H38">
        <v>1</v>
      </c>
      <c r="I38">
        <v>14</v>
      </c>
      <c r="J38" t="s">
        <v>325</v>
      </c>
      <c r="K38" s="17"/>
      <c r="M38" s="17"/>
      <c r="O38" s="17"/>
      <c r="Q38" s="17">
        <v>8050846007291</v>
      </c>
      <c r="R38">
        <v>14</v>
      </c>
      <c r="S38" s="17"/>
      <c r="U38" s="17"/>
    </row>
    <row r="39" spans="1:21">
      <c r="A39" t="s">
        <v>21</v>
      </c>
      <c r="B39">
        <v>347</v>
      </c>
      <c r="D39" t="s">
        <v>1717</v>
      </c>
      <c r="E39" s="16">
        <v>8050846006379</v>
      </c>
      <c r="F39">
        <v>4</v>
      </c>
      <c r="H39">
        <v>1</v>
      </c>
      <c r="I39">
        <v>4</v>
      </c>
      <c r="J39" t="s">
        <v>325</v>
      </c>
      <c r="K39" s="17"/>
      <c r="M39" s="17"/>
      <c r="O39" s="17"/>
      <c r="Q39" s="17">
        <v>8050846006379</v>
      </c>
      <c r="R39">
        <v>4</v>
      </c>
      <c r="S39" s="17"/>
      <c r="U39" s="17"/>
    </row>
    <row r="40" spans="1:21">
      <c r="A40" t="s">
        <v>26</v>
      </c>
      <c r="B40">
        <v>483</v>
      </c>
      <c r="D40" t="s">
        <v>1718</v>
      </c>
      <c r="E40" s="16">
        <v>8050846006584</v>
      </c>
      <c r="F40">
        <v>3</v>
      </c>
      <c r="H40">
        <v>1</v>
      </c>
      <c r="I40">
        <v>6</v>
      </c>
      <c r="J40" t="s">
        <v>325</v>
      </c>
      <c r="K40" s="17"/>
      <c r="M40" s="17"/>
      <c r="O40" s="17"/>
      <c r="Q40" s="17">
        <v>8050846006584</v>
      </c>
      <c r="R40">
        <v>6</v>
      </c>
      <c r="S40" s="17"/>
      <c r="U40" s="17"/>
    </row>
    <row r="41" spans="1:21">
      <c r="A41" t="s">
        <v>21</v>
      </c>
      <c r="B41">
        <v>486</v>
      </c>
      <c r="D41" t="s">
        <v>1719</v>
      </c>
      <c r="E41" s="16">
        <v>8050846006423</v>
      </c>
      <c r="F41">
        <v>3</v>
      </c>
      <c r="H41">
        <v>1</v>
      </c>
      <c r="I41">
        <v>4</v>
      </c>
      <c r="J41" t="s">
        <v>325</v>
      </c>
      <c r="K41" s="17"/>
      <c r="M41" s="17"/>
      <c r="O41" s="17"/>
      <c r="Q41" s="17">
        <v>8050846006423</v>
      </c>
      <c r="R41">
        <v>4</v>
      </c>
      <c r="S41" s="17"/>
      <c r="U41" s="17"/>
    </row>
    <row r="42" spans="1:21">
      <c r="A42" t="s">
        <v>21</v>
      </c>
      <c r="B42">
        <v>479</v>
      </c>
      <c r="D42" t="s">
        <v>1720</v>
      </c>
      <c r="E42" s="16">
        <v>8050846011434</v>
      </c>
      <c r="F42">
        <v>3</v>
      </c>
      <c r="H42">
        <v>1</v>
      </c>
      <c r="I42">
        <v>4</v>
      </c>
      <c r="J42" t="s">
        <v>325</v>
      </c>
      <c r="K42" s="17"/>
      <c r="M42" s="17"/>
      <c r="O42" s="17"/>
      <c r="Q42" s="17">
        <v>8050846011434</v>
      </c>
      <c r="R42">
        <v>4</v>
      </c>
      <c r="S42" s="17"/>
      <c r="U42" s="17"/>
    </row>
    <row r="43" spans="1:21">
      <c r="A43" t="s">
        <v>27</v>
      </c>
      <c r="B43">
        <v>36</v>
      </c>
      <c r="D43" t="s">
        <v>1721</v>
      </c>
      <c r="E43" s="16">
        <v>8050846008168</v>
      </c>
      <c r="F43">
        <v>6</v>
      </c>
      <c r="H43">
        <v>1</v>
      </c>
      <c r="I43">
        <v>198</v>
      </c>
      <c r="J43" t="s">
        <v>325</v>
      </c>
      <c r="K43" s="17"/>
      <c r="M43" s="17"/>
      <c r="O43" s="17"/>
      <c r="Q43" s="17">
        <v>8050846008168</v>
      </c>
      <c r="R43">
        <v>198</v>
      </c>
      <c r="S43" s="17"/>
      <c r="U43" s="17"/>
    </row>
    <row r="44" spans="1:21">
      <c r="A44" t="s">
        <v>1583</v>
      </c>
      <c r="B44">
        <v>473</v>
      </c>
      <c r="D44" t="s">
        <v>1722</v>
      </c>
      <c r="E44" s="16">
        <v>8050846004344</v>
      </c>
      <c r="F44">
        <v>4</v>
      </c>
      <c r="H44">
        <v>1</v>
      </c>
      <c r="I44">
        <v>71</v>
      </c>
      <c r="J44" t="s">
        <v>325</v>
      </c>
      <c r="K44" s="17"/>
      <c r="M44" s="17"/>
      <c r="O44" s="17"/>
      <c r="Q44" s="17">
        <v>8050846004344</v>
      </c>
      <c r="R44">
        <v>71</v>
      </c>
      <c r="S44" s="17"/>
      <c r="U44" s="17"/>
    </row>
    <row r="45" spans="1:21">
      <c r="A45" t="s">
        <v>28</v>
      </c>
      <c r="B45">
        <v>227</v>
      </c>
      <c r="D45" t="s">
        <v>1723</v>
      </c>
      <c r="E45" s="16">
        <v>8050846003101</v>
      </c>
      <c r="F45">
        <v>2</v>
      </c>
      <c r="H45">
        <v>1</v>
      </c>
      <c r="I45">
        <v>50</v>
      </c>
      <c r="J45" t="s">
        <v>325</v>
      </c>
      <c r="K45" s="17"/>
      <c r="M45" s="17"/>
      <c r="O45" s="17"/>
      <c r="Q45" s="17">
        <v>8050846003101</v>
      </c>
      <c r="R45">
        <v>50</v>
      </c>
      <c r="S45" s="17"/>
      <c r="U45" s="17"/>
    </row>
    <row r="46" spans="1:21">
      <c r="A46" t="s">
        <v>29</v>
      </c>
      <c r="B46">
        <v>371</v>
      </c>
      <c r="D46" t="s">
        <v>356</v>
      </c>
      <c r="E46" s="16">
        <v>8050846002753</v>
      </c>
      <c r="F46">
        <v>3</v>
      </c>
      <c r="H46">
        <v>1</v>
      </c>
      <c r="I46">
        <v>159</v>
      </c>
      <c r="J46" t="s">
        <v>325</v>
      </c>
      <c r="K46" s="17"/>
      <c r="M46" s="17"/>
      <c r="O46" s="17"/>
      <c r="Q46" s="17">
        <v>8050846002753</v>
      </c>
      <c r="R46">
        <v>159</v>
      </c>
      <c r="S46" s="17"/>
      <c r="U46" s="17"/>
    </row>
    <row r="47" spans="1:21">
      <c r="A47" t="s">
        <v>7</v>
      </c>
      <c r="B47">
        <v>76</v>
      </c>
      <c r="D47" t="s">
        <v>358</v>
      </c>
      <c r="E47" s="16">
        <v>8050846003170</v>
      </c>
      <c r="F47">
        <v>4</v>
      </c>
      <c r="H47">
        <v>1</v>
      </c>
      <c r="I47">
        <v>53</v>
      </c>
      <c r="J47" t="s">
        <v>325</v>
      </c>
      <c r="K47" s="17"/>
      <c r="M47" s="17"/>
      <c r="O47" s="17"/>
      <c r="Q47" s="17">
        <v>8050846003170</v>
      </c>
      <c r="R47">
        <v>53</v>
      </c>
      <c r="S47" s="17"/>
      <c r="U47" s="17"/>
    </row>
    <row r="48" spans="1:21">
      <c r="A48" t="s">
        <v>30</v>
      </c>
      <c r="B48">
        <v>55</v>
      </c>
      <c r="D48" t="s">
        <v>1724</v>
      </c>
      <c r="E48" s="16">
        <v>8050846003026</v>
      </c>
      <c r="F48">
        <v>3</v>
      </c>
      <c r="H48">
        <v>1</v>
      </c>
      <c r="I48">
        <v>151</v>
      </c>
      <c r="J48" t="s">
        <v>325</v>
      </c>
      <c r="K48" s="17"/>
      <c r="M48" s="17"/>
      <c r="O48" s="17"/>
      <c r="Q48" s="17">
        <v>8050846003026</v>
      </c>
      <c r="R48">
        <v>151</v>
      </c>
      <c r="S48" s="17"/>
      <c r="U48" s="17"/>
    </row>
    <row r="49" spans="1:21">
      <c r="A49" t="s">
        <v>29</v>
      </c>
      <c r="B49">
        <v>89</v>
      </c>
      <c r="D49" t="s">
        <v>1725</v>
      </c>
      <c r="E49" s="16">
        <v>8050846002791</v>
      </c>
      <c r="F49">
        <v>2</v>
      </c>
      <c r="H49">
        <v>1</v>
      </c>
      <c r="I49">
        <v>159</v>
      </c>
      <c r="J49" t="s">
        <v>325</v>
      </c>
      <c r="K49" s="17"/>
      <c r="M49" s="17"/>
      <c r="O49" s="17"/>
      <c r="Q49" s="17">
        <v>8050846002791</v>
      </c>
      <c r="R49">
        <v>159</v>
      </c>
      <c r="S49" s="17"/>
      <c r="U49" s="17"/>
    </row>
    <row r="50" spans="1:21">
      <c r="A50" t="s">
        <v>1590</v>
      </c>
      <c r="B50">
        <v>241</v>
      </c>
      <c r="D50" t="s">
        <v>1726</v>
      </c>
      <c r="E50" s="16" t="s">
        <v>2211</v>
      </c>
      <c r="F50">
        <v>4</v>
      </c>
      <c r="H50">
        <v>0</v>
      </c>
      <c r="K50" s="17"/>
      <c r="M50" s="17"/>
      <c r="O50" s="17"/>
      <c r="Q50" s="17"/>
      <c r="S50" s="17"/>
      <c r="U50" s="17"/>
    </row>
    <row r="51" spans="1:21">
      <c r="A51" t="s">
        <v>0</v>
      </c>
      <c r="B51">
        <v>75</v>
      </c>
      <c r="D51" t="s">
        <v>1727</v>
      </c>
      <c r="E51" s="16">
        <v>8050846004894</v>
      </c>
      <c r="F51">
        <v>3</v>
      </c>
      <c r="H51">
        <v>1</v>
      </c>
      <c r="I51">
        <v>92</v>
      </c>
      <c r="J51" t="s">
        <v>325</v>
      </c>
      <c r="K51" s="17"/>
      <c r="M51" s="17"/>
      <c r="O51" s="17"/>
      <c r="Q51" s="17">
        <v>8050846004894</v>
      </c>
      <c r="R51">
        <v>92</v>
      </c>
      <c r="S51" s="17"/>
      <c r="U51" s="17"/>
    </row>
    <row r="52" spans="1:21">
      <c r="A52" t="s">
        <v>2</v>
      </c>
      <c r="B52">
        <v>76</v>
      </c>
      <c r="D52" t="s">
        <v>1728</v>
      </c>
      <c r="E52" s="16" t="s">
        <v>2212</v>
      </c>
      <c r="F52">
        <v>3</v>
      </c>
      <c r="H52">
        <v>1</v>
      </c>
      <c r="I52">
        <v>17</v>
      </c>
      <c r="J52" t="s">
        <v>325</v>
      </c>
      <c r="K52" s="17"/>
      <c r="M52" s="17"/>
      <c r="O52" s="17"/>
      <c r="Q52" s="17"/>
      <c r="R52">
        <v>17</v>
      </c>
      <c r="S52" s="17"/>
      <c r="U52" s="17"/>
    </row>
    <row r="53" spans="1:21">
      <c r="A53" t="s">
        <v>3</v>
      </c>
      <c r="B53">
        <v>471</v>
      </c>
      <c r="D53" t="s">
        <v>1729</v>
      </c>
      <c r="E53" s="16">
        <v>8050846003132</v>
      </c>
      <c r="F53">
        <v>2</v>
      </c>
      <c r="H53">
        <v>1</v>
      </c>
      <c r="I53">
        <v>51</v>
      </c>
      <c r="J53" t="s">
        <v>325</v>
      </c>
      <c r="Q53" s="17">
        <v>8050846003132</v>
      </c>
      <c r="R53">
        <v>51</v>
      </c>
    </row>
    <row r="54" spans="1:21">
      <c r="A54" t="s">
        <v>4</v>
      </c>
      <c r="B54">
        <v>76</v>
      </c>
      <c r="D54" t="s">
        <v>1730</v>
      </c>
      <c r="E54" s="16">
        <v>8050846003071</v>
      </c>
      <c r="F54">
        <v>2</v>
      </c>
      <c r="H54">
        <v>1</v>
      </c>
      <c r="I54">
        <v>48</v>
      </c>
      <c r="J54" t="s">
        <v>325</v>
      </c>
      <c r="K54" s="17"/>
      <c r="M54" s="17"/>
      <c r="O54" s="17"/>
      <c r="Q54" s="17">
        <v>8050846003071</v>
      </c>
      <c r="R54">
        <v>48</v>
      </c>
      <c r="S54" s="17"/>
      <c r="U54" s="17"/>
    </row>
    <row r="55" spans="1:21">
      <c r="A55" t="s">
        <v>8</v>
      </c>
      <c r="B55">
        <v>422</v>
      </c>
      <c r="D55" t="s">
        <v>1731</v>
      </c>
      <c r="E55" s="16">
        <v>8050846002739</v>
      </c>
      <c r="F55">
        <v>2</v>
      </c>
      <c r="H55">
        <v>1</v>
      </c>
      <c r="I55">
        <v>158</v>
      </c>
      <c r="J55" t="s">
        <v>325</v>
      </c>
      <c r="K55" s="17"/>
      <c r="M55" s="17"/>
      <c r="Q55" s="17">
        <v>8050846002739</v>
      </c>
      <c r="R55">
        <v>158</v>
      </c>
    </row>
    <row r="56" spans="1:21">
      <c r="A56" t="s">
        <v>13</v>
      </c>
      <c r="B56">
        <v>76</v>
      </c>
      <c r="D56" t="s">
        <v>1732</v>
      </c>
      <c r="E56" s="16">
        <v>8050846003798</v>
      </c>
      <c r="F56">
        <v>2</v>
      </c>
      <c r="H56">
        <v>1</v>
      </c>
      <c r="I56">
        <v>101</v>
      </c>
      <c r="J56" t="s">
        <v>325</v>
      </c>
      <c r="Q56" s="17">
        <v>8050846003798</v>
      </c>
      <c r="R56">
        <v>101</v>
      </c>
    </row>
    <row r="57" spans="1:21">
      <c r="A57" t="s">
        <v>14</v>
      </c>
      <c r="B57">
        <v>17</v>
      </c>
      <c r="D57" t="s">
        <v>1733</v>
      </c>
      <c r="E57" s="16">
        <v>8050846003934</v>
      </c>
      <c r="F57">
        <v>2</v>
      </c>
      <c r="H57">
        <v>1</v>
      </c>
      <c r="I57">
        <v>110</v>
      </c>
      <c r="J57" t="s">
        <v>325</v>
      </c>
      <c r="Q57" s="17">
        <v>8050846003934</v>
      </c>
      <c r="R57">
        <v>110</v>
      </c>
    </row>
    <row r="58" spans="1:21">
      <c r="A58" t="s">
        <v>1593</v>
      </c>
      <c r="B58">
        <v>76</v>
      </c>
      <c r="D58" t="s">
        <v>1734</v>
      </c>
      <c r="E58" s="16">
        <v>8050846003903</v>
      </c>
      <c r="F58">
        <v>2</v>
      </c>
      <c r="H58">
        <v>1</v>
      </c>
      <c r="I58">
        <v>125</v>
      </c>
      <c r="J58" t="s">
        <v>325</v>
      </c>
      <c r="Q58" s="17">
        <v>8050846003903</v>
      </c>
      <c r="R58">
        <v>125</v>
      </c>
    </row>
    <row r="59" spans="1:21">
      <c r="A59" t="s">
        <v>1579</v>
      </c>
      <c r="B59">
        <v>479</v>
      </c>
      <c r="D59" t="s">
        <v>1735</v>
      </c>
      <c r="E59" s="16" t="s">
        <v>2212</v>
      </c>
      <c r="F59">
        <v>3</v>
      </c>
      <c r="H59">
        <v>1</v>
      </c>
      <c r="I59">
        <v>14</v>
      </c>
      <c r="J59" t="s">
        <v>325</v>
      </c>
      <c r="Q59" s="17"/>
      <c r="R59">
        <v>14</v>
      </c>
    </row>
    <row r="60" spans="1:21">
      <c r="A60" t="s">
        <v>15</v>
      </c>
      <c r="B60">
        <v>75</v>
      </c>
      <c r="D60" t="s">
        <v>1736</v>
      </c>
      <c r="E60" s="16">
        <v>8050846005051</v>
      </c>
      <c r="F60">
        <v>2</v>
      </c>
      <c r="H60">
        <v>1</v>
      </c>
      <c r="I60">
        <v>106</v>
      </c>
      <c r="J60" t="s">
        <v>325</v>
      </c>
      <c r="Q60" s="17">
        <v>8050846005051</v>
      </c>
      <c r="R60">
        <v>106</v>
      </c>
    </row>
    <row r="61" spans="1:21">
      <c r="A61" t="s">
        <v>31</v>
      </c>
      <c r="B61">
        <v>75</v>
      </c>
      <c r="D61" t="s">
        <v>1737</v>
      </c>
      <c r="E61" s="16">
        <v>8050846005075</v>
      </c>
      <c r="F61">
        <v>2</v>
      </c>
      <c r="H61">
        <v>1</v>
      </c>
      <c r="I61">
        <v>114</v>
      </c>
      <c r="J61" t="s">
        <v>325</v>
      </c>
      <c r="Q61" s="17">
        <v>8050846005075</v>
      </c>
      <c r="R61">
        <v>114</v>
      </c>
    </row>
    <row r="62" spans="1:21">
      <c r="A62" t="s">
        <v>32</v>
      </c>
      <c r="B62">
        <v>479</v>
      </c>
      <c r="D62" t="s">
        <v>1738</v>
      </c>
      <c r="E62" s="16">
        <v>8050846005310</v>
      </c>
      <c r="F62">
        <v>2</v>
      </c>
      <c r="H62">
        <v>1</v>
      </c>
      <c r="I62">
        <v>35</v>
      </c>
      <c r="J62" t="s">
        <v>325</v>
      </c>
      <c r="Q62" s="17">
        <v>8050846005310</v>
      </c>
      <c r="R62">
        <v>35</v>
      </c>
    </row>
    <row r="63" spans="1:21">
      <c r="A63" t="s">
        <v>10</v>
      </c>
      <c r="B63">
        <v>55</v>
      </c>
      <c r="D63" t="s">
        <v>1739</v>
      </c>
      <c r="E63" s="16">
        <v>8050846003248</v>
      </c>
      <c r="F63">
        <v>2</v>
      </c>
      <c r="H63">
        <v>1</v>
      </c>
      <c r="I63">
        <v>54</v>
      </c>
      <c r="J63" t="s">
        <v>325</v>
      </c>
      <c r="Q63" s="17">
        <v>8050846003248</v>
      </c>
      <c r="R63">
        <v>54</v>
      </c>
    </row>
    <row r="64" spans="1:21">
      <c r="A64" t="s">
        <v>33</v>
      </c>
      <c r="B64">
        <v>483</v>
      </c>
      <c r="D64" t="s">
        <v>1740</v>
      </c>
      <c r="E64" s="16">
        <v>8050846005303</v>
      </c>
      <c r="F64">
        <v>6</v>
      </c>
      <c r="H64">
        <v>1</v>
      </c>
      <c r="I64">
        <v>68</v>
      </c>
      <c r="J64" t="s">
        <v>325</v>
      </c>
      <c r="Q64" s="17">
        <v>8050846005303</v>
      </c>
      <c r="R64">
        <v>68</v>
      </c>
    </row>
    <row r="65" spans="1:18">
      <c r="A65" t="s">
        <v>24</v>
      </c>
      <c r="B65">
        <v>55</v>
      </c>
      <c r="D65" t="s">
        <v>1741</v>
      </c>
      <c r="E65" s="16">
        <v>8051770309703</v>
      </c>
      <c r="F65">
        <v>1</v>
      </c>
      <c r="H65">
        <v>2</v>
      </c>
      <c r="I65">
        <v>9</v>
      </c>
      <c r="J65" t="s">
        <v>317</v>
      </c>
      <c r="K65" s="17">
        <v>8051770309703</v>
      </c>
      <c r="L65" t="s">
        <v>342</v>
      </c>
      <c r="O65" s="17"/>
      <c r="P65">
        <v>10</v>
      </c>
      <c r="Q65" s="17"/>
    </row>
    <row r="66" spans="1:18">
      <c r="A66" t="s">
        <v>24</v>
      </c>
      <c r="B66">
        <v>371</v>
      </c>
      <c r="D66" t="s">
        <v>1742</v>
      </c>
      <c r="E66" s="16">
        <v>8056099179617</v>
      </c>
      <c r="F66">
        <v>1</v>
      </c>
      <c r="H66">
        <v>2</v>
      </c>
      <c r="I66">
        <v>9</v>
      </c>
      <c r="J66" t="s">
        <v>317</v>
      </c>
      <c r="K66" s="17">
        <v>8056099179617</v>
      </c>
      <c r="L66" t="s">
        <v>342</v>
      </c>
      <c r="O66" s="17"/>
      <c r="P66">
        <v>10</v>
      </c>
      <c r="Q66" s="17"/>
    </row>
    <row r="67" spans="1:18">
      <c r="A67" t="s">
        <v>23</v>
      </c>
      <c r="B67">
        <v>75</v>
      </c>
      <c r="D67" t="s">
        <v>1743</v>
      </c>
      <c r="E67" s="16">
        <v>8056300452195</v>
      </c>
      <c r="F67">
        <v>2</v>
      </c>
      <c r="H67">
        <v>1</v>
      </c>
      <c r="I67">
        <v>10</v>
      </c>
      <c r="J67" t="s">
        <v>325</v>
      </c>
      <c r="Q67" s="17">
        <v>8056300452195</v>
      </c>
      <c r="R67">
        <v>10</v>
      </c>
    </row>
    <row r="68" spans="1:18">
      <c r="A68" t="s">
        <v>1600</v>
      </c>
      <c r="B68">
        <v>75</v>
      </c>
      <c r="D68" t="s">
        <v>1744</v>
      </c>
      <c r="E68" s="16">
        <v>8056095066492</v>
      </c>
      <c r="F68">
        <v>3</v>
      </c>
      <c r="H68">
        <v>1</v>
      </c>
      <c r="I68">
        <v>240</v>
      </c>
      <c r="J68" t="s">
        <v>325</v>
      </c>
      <c r="Q68" s="17">
        <v>8056095066492</v>
      </c>
      <c r="R68">
        <v>240</v>
      </c>
    </row>
    <row r="69" spans="1:18">
      <c r="A69" t="s">
        <v>1603</v>
      </c>
      <c r="B69">
        <v>158</v>
      </c>
      <c r="D69" t="s">
        <v>1745</v>
      </c>
      <c r="E69" s="16">
        <v>8050538590711</v>
      </c>
      <c r="F69">
        <v>2</v>
      </c>
      <c r="H69">
        <v>1</v>
      </c>
      <c r="I69">
        <v>11</v>
      </c>
      <c r="J69" t="s">
        <v>324</v>
      </c>
      <c r="O69" s="17">
        <v>8050538590711</v>
      </c>
      <c r="P69">
        <v>11</v>
      </c>
      <c r="Q69" s="17"/>
    </row>
    <row r="70" spans="1:18">
      <c r="A70" t="s">
        <v>34</v>
      </c>
      <c r="B70">
        <v>158</v>
      </c>
      <c r="D70" t="s">
        <v>1746</v>
      </c>
      <c r="E70" s="16">
        <v>8056099178757</v>
      </c>
      <c r="F70">
        <v>2</v>
      </c>
      <c r="H70">
        <v>1</v>
      </c>
      <c r="I70">
        <v>9</v>
      </c>
      <c r="J70" t="s">
        <v>324</v>
      </c>
      <c r="O70" s="17">
        <v>8056099178757</v>
      </c>
      <c r="P70">
        <v>9</v>
      </c>
      <c r="Q70" s="17"/>
    </row>
    <row r="71" spans="1:18">
      <c r="A71" t="s">
        <v>1579</v>
      </c>
      <c r="B71">
        <v>55</v>
      </c>
      <c r="D71" t="s">
        <v>1747</v>
      </c>
      <c r="E71" s="16">
        <v>8050538597833</v>
      </c>
      <c r="F71">
        <v>2</v>
      </c>
      <c r="H71">
        <v>2</v>
      </c>
      <c r="I71">
        <v>8</v>
      </c>
      <c r="J71" t="s">
        <v>317</v>
      </c>
      <c r="K71" s="17">
        <v>8050538597833</v>
      </c>
      <c r="L71" t="s">
        <v>348</v>
      </c>
      <c r="Q71" s="17"/>
      <c r="R71">
        <v>14</v>
      </c>
    </row>
    <row r="72" spans="1:18">
      <c r="A72" t="s">
        <v>1610</v>
      </c>
      <c r="B72">
        <v>371</v>
      </c>
      <c r="D72" t="s">
        <v>1748</v>
      </c>
      <c r="E72" s="16">
        <v>8050846006461</v>
      </c>
      <c r="F72">
        <v>3</v>
      </c>
      <c r="H72">
        <v>2</v>
      </c>
      <c r="I72">
        <v>12</v>
      </c>
      <c r="J72" t="s">
        <v>317</v>
      </c>
      <c r="K72" s="17">
        <v>8050846006461</v>
      </c>
      <c r="L72" t="s">
        <v>1749</v>
      </c>
      <c r="Q72" s="17">
        <v>8050846006461</v>
      </c>
      <c r="R72">
        <v>15</v>
      </c>
    </row>
    <row r="73" spans="1:18">
      <c r="A73" t="s">
        <v>1610</v>
      </c>
      <c r="B73">
        <v>17</v>
      </c>
      <c r="D73" t="s">
        <v>1750</v>
      </c>
      <c r="E73" s="16">
        <v>8050846006478</v>
      </c>
      <c r="F73">
        <v>2</v>
      </c>
      <c r="H73">
        <v>2</v>
      </c>
      <c r="I73">
        <v>12</v>
      </c>
      <c r="J73" t="s">
        <v>317</v>
      </c>
      <c r="K73" s="17">
        <v>8050846006478</v>
      </c>
      <c r="L73" t="s">
        <v>1749</v>
      </c>
      <c r="Q73" s="17"/>
      <c r="R73">
        <v>15</v>
      </c>
    </row>
    <row r="74" spans="1:18">
      <c r="A74" t="s">
        <v>22</v>
      </c>
      <c r="B74">
        <v>347</v>
      </c>
      <c r="D74" t="s">
        <v>1751</v>
      </c>
      <c r="E74" s="16">
        <v>8050846006706</v>
      </c>
      <c r="F74">
        <v>2</v>
      </c>
      <c r="H74">
        <v>1</v>
      </c>
      <c r="I74">
        <v>8</v>
      </c>
      <c r="J74" t="s">
        <v>325</v>
      </c>
      <c r="Q74" s="17">
        <v>8050846006706</v>
      </c>
      <c r="R74">
        <v>8</v>
      </c>
    </row>
    <row r="75" spans="1:18">
      <c r="A75" t="s">
        <v>34</v>
      </c>
      <c r="B75">
        <v>26</v>
      </c>
      <c r="D75" t="s">
        <v>1752</v>
      </c>
      <c r="E75" s="16">
        <v>8050846006850</v>
      </c>
      <c r="F75">
        <v>2</v>
      </c>
      <c r="H75">
        <v>1</v>
      </c>
      <c r="I75">
        <v>13</v>
      </c>
      <c r="J75" t="s">
        <v>325</v>
      </c>
      <c r="Q75" s="17">
        <v>8050846006850</v>
      </c>
      <c r="R75">
        <v>13</v>
      </c>
    </row>
    <row r="76" spans="1:18">
      <c r="A76" t="s">
        <v>1603</v>
      </c>
      <c r="B76">
        <v>371</v>
      </c>
      <c r="D76" t="s">
        <v>1753</v>
      </c>
      <c r="E76" s="16">
        <v>8050846007130</v>
      </c>
      <c r="F76">
        <v>2</v>
      </c>
      <c r="H76">
        <v>2</v>
      </c>
      <c r="I76">
        <v>42</v>
      </c>
      <c r="J76" t="s">
        <v>317</v>
      </c>
      <c r="K76" s="17">
        <v>8050846007130</v>
      </c>
      <c r="L76" t="s">
        <v>1754</v>
      </c>
      <c r="O76" s="17"/>
      <c r="P76">
        <v>11</v>
      </c>
      <c r="Q76" s="17"/>
    </row>
    <row r="77" spans="1:18">
      <c r="A77" t="s">
        <v>27</v>
      </c>
      <c r="B77">
        <v>60</v>
      </c>
      <c r="D77" t="s">
        <v>1755</v>
      </c>
      <c r="E77" s="16">
        <v>8050846008151</v>
      </c>
      <c r="F77">
        <v>6</v>
      </c>
      <c r="H77">
        <v>1</v>
      </c>
      <c r="I77">
        <v>198</v>
      </c>
      <c r="J77" t="s">
        <v>325</v>
      </c>
      <c r="Q77" s="17">
        <v>8050846008151</v>
      </c>
      <c r="R77">
        <v>198</v>
      </c>
    </row>
    <row r="78" spans="1:18">
      <c r="A78" t="s">
        <v>35</v>
      </c>
      <c r="B78">
        <v>36</v>
      </c>
      <c r="D78" t="s">
        <v>1756</v>
      </c>
      <c r="E78" s="16" t="s">
        <v>2211</v>
      </c>
      <c r="F78">
        <v>6</v>
      </c>
      <c r="H78">
        <v>0</v>
      </c>
      <c r="Q78" s="17"/>
    </row>
    <row r="79" spans="1:18">
      <c r="A79" t="s">
        <v>9</v>
      </c>
      <c r="B79">
        <v>55</v>
      </c>
      <c r="D79" t="s">
        <v>353</v>
      </c>
      <c r="E79" s="16">
        <v>8050846002647</v>
      </c>
      <c r="F79">
        <v>4</v>
      </c>
      <c r="H79">
        <v>1</v>
      </c>
      <c r="I79">
        <v>20</v>
      </c>
      <c r="J79" t="s">
        <v>325</v>
      </c>
      <c r="Q79" s="17">
        <v>8050846002647</v>
      </c>
      <c r="R79">
        <v>20</v>
      </c>
    </row>
    <row r="80" spans="1:18">
      <c r="A80" t="s">
        <v>36</v>
      </c>
      <c r="B80">
        <v>227</v>
      </c>
      <c r="D80" t="s">
        <v>1757</v>
      </c>
      <c r="E80" s="16">
        <v>8050846002340</v>
      </c>
      <c r="F80">
        <v>2</v>
      </c>
      <c r="H80">
        <v>1</v>
      </c>
      <c r="I80">
        <v>118</v>
      </c>
      <c r="J80" t="s">
        <v>325</v>
      </c>
      <c r="Q80" s="17">
        <v>8050846002340</v>
      </c>
      <c r="R80">
        <v>118</v>
      </c>
    </row>
    <row r="81" spans="1:18">
      <c r="A81" t="s">
        <v>37</v>
      </c>
      <c r="B81">
        <v>480</v>
      </c>
      <c r="D81" t="s">
        <v>355</v>
      </c>
      <c r="E81" s="16">
        <v>8050846003729</v>
      </c>
      <c r="F81">
        <v>2</v>
      </c>
      <c r="H81">
        <v>1</v>
      </c>
      <c r="I81">
        <v>82</v>
      </c>
      <c r="J81" t="s">
        <v>325</v>
      </c>
      <c r="Q81" s="17">
        <v>8050846003729</v>
      </c>
      <c r="R81">
        <v>82</v>
      </c>
    </row>
    <row r="82" spans="1:18">
      <c r="A82" t="s">
        <v>19</v>
      </c>
      <c r="B82">
        <v>55</v>
      </c>
      <c r="D82" t="s">
        <v>357</v>
      </c>
      <c r="E82" s="16" t="s">
        <v>2212</v>
      </c>
      <c r="F82">
        <v>4</v>
      </c>
      <c r="H82">
        <v>1</v>
      </c>
      <c r="I82">
        <v>160</v>
      </c>
      <c r="J82" t="s">
        <v>325</v>
      </c>
      <c r="Q82" s="17"/>
      <c r="R82">
        <v>160</v>
      </c>
    </row>
    <row r="83" spans="1:18">
      <c r="A83" t="s">
        <v>1614</v>
      </c>
      <c r="B83">
        <v>36</v>
      </c>
      <c r="D83" t="s">
        <v>1758</v>
      </c>
      <c r="E83" s="16">
        <v>8050846004962</v>
      </c>
      <c r="F83">
        <v>2</v>
      </c>
      <c r="H83">
        <v>1</v>
      </c>
      <c r="I83">
        <v>104</v>
      </c>
      <c r="J83" t="s">
        <v>325</v>
      </c>
      <c r="Q83" s="17">
        <v>8050846004962</v>
      </c>
      <c r="R83">
        <v>104</v>
      </c>
    </row>
    <row r="84" spans="1:18">
      <c r="A84" t="s">
        <v>11</v>
      </c>
      <c r="B84">
        <v>480</v>
      </c>
      <c r="D84" t="s">
        <v>1759</v>
      </c>
      <c r="E84" s="16">
        <v>8050846003965</v>
      </c>
      <c r="F84">
        <v>2</v>
      </c>
      <c r="H84">
        <v>1</v>
      </c>
      <c r="I84">
        <v>111</v>
      </c>
      <c r="J84" t="s">
        <v>325</v>
      </c>
      <c r="Q84" s="17">
        <v>8050846003965</v>
      </c>
      <c r="R84">
        <v>111</v>
      </c>
    </row>
    <row r="85" spans="1:18">
      <c r="A85" t="s">
        <v>1616</v>
      </c>
      <c r="B85">
        <v>227</v>
      </c>
      <c r="D85" t="s">
        <v>1760</v>
      </c>
      <c r="E85" s="16">
        <v>8050846002395</v>
      </c>
      <c r="F85">
        <v>2</v>
      </c>
      <c r="H85">
        <v>1</v>
      </c>
      <c r="I85">
        <v>130</v>
      </c>
      <c r="J85" t="s">
        <v>325</v>
      </c>
      <c r="Q85" s="17">
        <v>8050846002395</v>
      </c>
      <c r="R85">
        <v>130</v>
      </c>
    </row>
    <row r="86" spans="1:18">
      <c r="A86" t="s">
        <v>38</v>
      </c>
      <c r="B86">
        <v>480</v>
      </c>
      <c r="D86" t="s">
        <v>1761</v>
      </c>
      <c r="E86" s="16" t="s">
        <v>2212</v>
      </c>
      <c r="F86">
        <v>2</v>
      </c>
      <c r="H86">
        <v>1</v>
      </c>
      <c r="I86">
        <v>95</v>
      </c>
      <c r="J86" t="s">
        <v>325</v>
      </c>
      <c r="Q86" s="17"/>
      <c r="R86">
        <v>95</v>
      </c>
    </row>
    <row r="87" spans="1:18">
      <c r="A87" t="s">
        <v>39</v>
      </c>
      <c r="B87">
        <v>227</v>
      </c>
      <c r="D87" t="s">
        <v>1762</v>
      </c>
      <c r="E87" s="16" t="s">
        <v>2212</v>
      </c>
      <c r="F87">
        <v>2</v>
      </c>
      <c r="H87">
        <v>1</v>
      </c>
      <c r="I87">
        <v>76</v>
      </c>
      <c r="J87" t="s">
        <v>325</v>
      </c>
      <c r="Q87" s="17"/>
      <c r="R87">
        <v>76</v>
      </c>
    </row>
    <row r="88" spans="1:18">
      <c r="A88" t="s">
        <v>40</v>
      </c>
      <c r="B88">
        <v>8</v>
      </c>
      <c r="D88" t="s">
        <v>360</v>
      </c>
      <c r="E88" s="16">
        <v>8050846005013</v>
      </c>
      <c r="F88">
        <v>2</v>
      </c>
      <c r="H88">
        <v>1</v>
      </c>
      <c r="I88">
        <v>83</v>
      </c>
      <c r="J88" t="s">
        <v>325</v>
      </c>
      <c r="Q88" s="17">
        <v>8050846005013</v>
      </c>
      <c r="R88">
        <v>83</v>
      </c>
    </row>
    <row r="89" spans="1:18">
      <c r="A89" t="s">
        <v>41</v>
      </c>
      <c r="B89">
        <v>8</v>
      </c>
      <c r="D89" t="s">
        <v>362</v>
      </c>
      <c r="E89" s="16">
        <v>8050846004917</v>
      </c>
      <c r="F89">
        <v>2</v>
      </c>
      <c r="H89">
        <v>1</v>
      </c>
      <c r="I89">
        <v>104</v>
      </c>
      <c r="J89" t="s">
        <v>325</v>
      </c>
      <c r="Q89" s="17">
        <v>8050846004917</v>
      </c>
      <c r="R89">
        <v>104</v>
      </c>
    </row>
    <row r="90" spans="1:18">
      <c r="A90" t="s">
        <v>42</v>
      </c>
      <c r="B90">
        <v>476</v>
      </c>
      <c r="D90" t="s">
        <v>1763</v>
      </c>
      <c r="E90" s="16">
        <v>8050846003958</v>
      </c>
      <c r="F90">
        <v>2</v>
      </c>
      <c r="H90">
        <v>1</v>
      </c>
      <c r="I90">
        <v>110</v>
      </c>
      <c r="J90" t="s">
        <v>325</v>
      </c>
      <c r="Q90" s="17">
        <v>8050846003958</v>
      </c>
      <c r="R90">
        <v>110</v>
      </c>
    </row>
    <row r="91" spans="1:18">
      <c r="A91" t="s">
        <v>1617</v>
      </c>
      <c r="B91">
        <v>254</v>
      </c>
      <c r="D91" t="s">
        <v>1764</v>
      </c>
      <c r="E91" s="16">
        <v>8050846003866</v>
      </c>
      <c r="F91">
        <v>2</v>
      </c>
      <c r="H91">
        <v>1</v>
      </c>
      <c r="I91">
        <v>124</v>
      </c>
      <c r="J91" t="s">
        <v>325</v>
      </c>
      <c r="Q91" s="17">
        <v>8050846003866</v>
      </c>
      <c r="R91">
        <v>124</v>
      </c>
    </row>
    <row r="92" spans="1:18">
      <c r="A92" t="s">
        <v>1618</v>
      </c>
      <c r="B92">
        <v>254</v>
      </c>
      <c r="D92" t="s">
        <v>1765</v>
      </c>
      <c r="E92" s="16">
        <v>8050846004177</v>
      </c>
      <c r="F92">
        <v>4</v>
      </c>
      <c r="H92">
        <v>1</v>
      </c>
      <c r="I92">
        <v>121</v>
      </c>
      <c r="J92" t="s">
        <v>325</v>
      </c>
      <c r="Q92" s="17">
        <v>8050846004177</v>
      </c>
      <c r="R92">
        <v>121</v>
      </c>
    </row>
    <row r="93" spans="1:18">
      <c r="A93" t="s">
        <v>10</v>
      </c>
      <c r="B93">
        <v>75</v>
      </c>
      <c r="D93" t="s">
        <v>1766</v>
      </c>
      <c r="E93" s="16">
        <v>8050846005655</v>
      </c>
      <c r="F93">
        <v>2</v>
      </c>
      <c r="H93">
        <v>1</v>
      </c>
      <c r="I93">
        <v>54</v>
      </c>
      <c r="J93" t="s">
        <v>325</v>
      </c>
      <c r="Q93" s="17">
        <v>8050846005655</v>
      </c>
      <c r="R93">
        <v>54</v>
      </c>
    </row>
    <row r="94" spans="1:18">
      <c r="A94" t="s">
        <v>43</v>
      </c>
      <c r="B94">
        <v>408</v>
      </c>
      <c r="D94" t="s">
        <v>1767</v>
      </c>
      <c r="E94" s="16">
        <v>8050846004726</v>
      </c>
      <c r="F94">
        <v>2</v>
      </c>
      <c r="H94">
        <v>1</v>
      </c>
      <c r="I94">
        <v>152</v>
      </c>
      <c r="J94" t="s">
        <v>325</v>
      </c>
      <c r="Q94" s="17">
        <v>8050846004726</v>
      </c>
      <c r="R94">
        <v>152</v>
      </c>
    </row>
    <row r="95" spans="1:18">
      <c r="A95" t="s">
        <v>1621</v>
      </c>
      <c r="B95">
        <v>76</v>
      </c>
      <c r="D95" t="s">
        <v>1768</v>
      </c>
      <c r="E95" s="16">
        <v>8050846001961</v>
      </c>
      <c r="F95">
        <v>2</v>
      </c>
      <c r="H95">
        <v>1</v>
      </c>
      <c r="I95">
        <v>123</v>
      </c>
      <c r="J95" t="s">
        <v>325</v>
      </c>
      <c r="Q95" s="17">
        <v>8050846001961</v>
      </c>
      <c r="R95">
        <v>123</v>
      </c>
    </row>
    <row r="96" spans="1:18">
      <c r="A96" t="s">
        <v>44</v>
      </c>
      <c r="B96">
        <v>227</v>
      </c>
      <c r="D96" t="s">
        <v>1769</v>
      </c>
      <c r="E96" s="16" t="s">
        <v>2212</v>
      </c>
      <c r="F96">
        <v>2</v>
      </c>
      <c r="H96">
        <v>1</v>
      </c>
      <c r="I96">
        <v>81</v>
      </c>
      <c r="J96" t="s">
        <v>325</v>
      </c>
      <c r="Q96" s="17"/>
      <c r="R96">
        <v>81</v>
      </c>
    </row>
    <row r="97" spans="1:18">
      <c r="A97" t="s">
        <v>45</v>
      </c>
      <c r="B97">
        <v>9</v>
      </c>
      <c r="D97" t="s">
        <v>1770</v>
      </c>
      <c r="E97" s="16">
        <v>8050846004634</v>
      </c>
      <c r="F97">
        <v>3</v>
      </c>
      <c r="H97">
        <v>1</v>
      </c>
      <c r="I97">
        <v>158</v>
      </c>
      <c r="J97" t="s">
        <v>325</v>
      </c>
      <c r="K97" s="17"/>
      <c r="O97" s="17"/>
      <c r="Q97" s="17">
        <v>8050846004634</v>
      </c>
      <c r="R97">
        <v>158</v>
      </c>
    </row>
    <row r="98" spans="1:18">
      <c r="A98" t="s">
        <v>46</v>
      </c>
      <c r="B98">
        <v>489</v>
      </c>
      <c r="D98" t="s">
        <v>1771</v>
      </c>
      <c r="E98" s="16">
        <v>8050846004528</v>
      </c>
      <c r="F98">
        <v>3</v>
      </c>
      <c r="H98">
        <v>1</v>
      </c>
      <c r="I98">
        <v>20</v>
      </c>
      <c r="J98" t="s">
        <v>325</v>
      </c>
      <c r="K98" s="17"/>
      <c r="O98" s="17"/>
      <c r="Q98" s="17">
        <v>8050846004528</v>
      </c>
      <c r="R98">
        <v>20</v>
      </c>
    </row>
    <row r="99" spans="1:18">
      <c r="A99" t="s">
        <v>31</v>
      </c>
      <c r="B99">
        <v>76</v>
      </c>
      <c r="D99" t="s">
        <v>1772</v>
      </c>
      <c r="E99" s="16">
        <v>8050846002258</v>
      </c>
      <c r="F99">
        <v>2</v>
      </c>
      <c r="H99">
        <v>1</v>
      </c>
      <c r="I99">
        <v>114</v>
      </c>
      <c r="J99" t="s">
        <v>325</v>
      </c>
      <c r="K99" s="17"/>
      <c r="O99" s="17"/>
      <c r="Q99" s="17">
        <v>8050846002258</v>
      </c>
      <c r="R99">
        <v>114</v>
      </c>
    </row>
    <row r="100" spans="1:18">
      <c r="A100" t="s">
        <v>47</v>
      </c>
      <c r="B100">
        <v>482</v>
      </c>
      <c r="D100" t="s">
        <v>1773</v>
      </c>
      <c r="E100" s="16">
        <v>8050846005594</v>
      </c>
      <c r="F100">
        <v>4</v>
      </c>
      <c r="H100">
        <v>1</v>
      </c>
      <c r="I100">
        <v>52</v>
      </c>
      <c r="J100" t="s">
        <v>325</v>
      </c>
      <c r="K100" s="17"/>
      <c r="M100" s="17"/>
      <c r="Q100" s="17">
        <v>8050846005594</v>
      </c>
      <c r="R100">
        <v>52</v>
      </c>
    </row>
    <row r="101" spans="1:18">
      <c r="A101" t="s">
        <v>48</v>
      </c>
      <c r="B101">
        <v>75</v>
      </c>
      <c r="D101" t="s">
        <v>1774</v>
      </c>
      <c r="E101" s="16">
        <v>8050846005570</v>
      </c>
      <c r="F101">
        <v>3</v>
      </c>
      <c r="H101">
        <v>1</v>
      </c>
      <c r="I101">
        <v>49</v>
      </c>
      <c r="J101" t="s">
        <v>325</v>
      </c>
      <c r="Q101" s="17">
        <v>8050846005570</v>
      </c>
      <c r="R101">
        <v>49</v>
      </c>
    </row>
    <row r="102" spans="1:18">
      <c r="A102" t="s">
        <v>1625</v>
      </c>
      <c r="B102">
        <v>475</v>
      </c>
      <c r="D102" t="s">
        <v>1775</v>
      </c>
      <c r="E102" s="16">
        <v>8050846004740</v>
      </c>
      <c r="F102">
        <v>2</v>
      </c>
      <c r="H102">
        <v>1</v>
      </c>
      <c r="I102">
        <v>50</v>
      </c>
      <c r="J102" t="s">
        <v>325</v>
      </c>
      <c r="Q102" s="17">
        <v>8050846004740</v>
      </c>
      <c r="R102">
        <v>50</v>
      </c>
    </row>
    <row r="103" spans="1:18">
      <c r="A103" t="s">
        <v>21</v>
      </c>
      <c r="B103">
        <v>483</v>
      </c>
      <c r="D103" t="s">
        <v>1776</v>
      </c>
      <c r="E103" s="16">
        <v>8050846006416</v>
      </c>
      <c r="F103">
        <v>3</v>
      </c>
      <c r="H103">
        <v>1</v>
      </c>
      <c r="I103">
        <v>4</v>
      </c>
      <c r="J103" t="s">
        <v>325</v>
      </c>
      <c r="K103" s="17"/>
      <c r="O103" s="17"/>
      <c r="Q103" s="17">
        <v>8050846006416</v>
      </c>
      <c r="R103">
        <v>4</v>
      </c>
    </row>
    <row r="104" spans="1:18">
      <c r="A104" t="s">
        <v>37</v>
      </c>
      <c r="B104">
        <v>481</v>
      </c>
      <c r="D104" t="s">
        <v>366</v>
      </c>
      <c r="E104" s="16">
        <v>8050846003736</v>
      </c>
      <c r="F104">
        <v>2</v>
      </c>
      <c r="H104">
        <v>1</v>
      </c>
      <c r="I104">
        <v>82</v>
      </c>
      <c r="J104" t="s">
        <v>325</v>
      </c>
      <c r="O104" s="17"/>
      <c r="Q104" s="17">
        <v>8050846003736</v>
      </c>
      <c r="R104">
        <v>82</v>
      </c>
    </row>
    <row r="105" spans="1:18">
      <c r="A105" t="s">
        <v>0</v>
      </c>
      <c r="B105">
        <v>422</v>
      </c>
      <c r="D105" t="s">
        <v>1777</v>
      </c>
      <c r="E105" s="16">
        <v>8050846001817</v>
      </c>
      <c r="F105">
        <v>2</v>
      </c>
      <c r="H105">
        <v>1</v>
      </c>
      <c r="I105">
        <v>92</v>
      </c>
      <c r="J105" t="s">
        <v>325</v>
      </c>
      <c r="O105" s="17"/>
      <c r="Q105" s="17">
        <v>8050846001817</v>
      </c>
      <c r="R105">
        <v>92</v>
      </c>
    </row>
    <row r="106" spans="1:18">
      <c r="A106" t="s">
        <v>49</v>
      </c>
      <c r="B106">
        <v>347</v>
      </c>
      <c r="D106" t="s">
        <v>1778</v>
      </c>
      <c r="E106" s="16">
        <v>8050846002012</v>
      </c>
      <c r="F106">
        <v>3</v>
      </c>
      <c r="H106">
        <v>1</v>
      </c>
      <c r="I106">
        <v>99</v>
      </c>
      <c r="J106" t="s">
        <v>325</v>
      </c>
      <c r="Q106" s="17">
        <v>8050846002012</v>
      </c>
      <c r="R106">
        <v>99</v>
      </c>
    </row>
    <row r="107" spans="1:18">
      <c r="A107" t="s">
        <v>1626</v>
      </c>
      <c r="B107">
        <v>36</v>
      </c>
      <c r="D107" t="s">
        <v>1779</v>
      </c>
      <c r="E107" s="16">
        <v>8050846002067</v>
      </c>
      <c r="F107">
        <v>2</v>
      </c>
      <c r="H107">
        <v>1</v>
      </c>
      <c r="I107">
        <v>99</v>
      </c>
      <c r="J107" t="s">
        <v>325</v>
      </c>
      <c r="Q107" s="17">
        <v>8050846002067</v>
      </c>
      <c r="R107">
        <v>99</v>
      </c>
    </row>
    <row r="108" spans="1:18">
      <c r="A108" t="s">
        <v>1626</v>
      </c>
      <c r="B108">
        <v>55</v>
      </c>
      <c r="D108" t="s">
        <v>1780</v>
      </c>
      <c r="E108" s="16">
        <v>8050846002043</v>
      </c>
      <c r="F108">
        <v>2</v>
      </c>
      <c r="H108">
        <v>1</v>
      </c>
      <c r="I108">
        <v>99</v>
      </c>
      <c r="J108" t="s">
        <v>325</v>
      </c>
      <c r="Q108" s="17">
        <v>8050846002043</v>
      </c>
      <c r="R108">
        <v>99</v>
      </c>
    </row>
    <row r="109" spans="1:18">
      <c r="A109" t="s">
        <v>46</v>
      </c>
      <c r="B109">
        <v>8</v>
      </c>
      <c r="D109" t="s">
        <v>1781</v>
      </c>
      <c r="E109" s="16">
        <v>8050846004511</v>
      </c>
      <c r="F109">
        <v>6</v>
      </c>
      <c r="H109">
        <v>1</v>
      </c>
      <c r="I109">
        <v>20</v>
      </c>
      <c r="J109" t="s">
        <v>325</v>
      </c>
      <c r="Q109" s="17">
        <v>8050846004511</v>
      </c>
      <c r="R109">
        <v>20</v>
      </c>
    </row>
    <row r="110" spans="1:18">
      <c r="A110" t="s">
        <v>46</v>
      </c>
      <c r="B110">
        <v>8</v>
      </c>
      <c r="D110" t="s">
        <v>1781</v>
      </c>
      <c r="E110" s="16">
        <v>8050846004511</v>
      </c>
      <c r="F110">
        <v>3</v>
      </c>
      <c r="H110">
        <v>1</v>
      </c>
      <c r="I110">
        <v>20</v>
      </c>
      <c r="J110" t="s">
        <v>325</v>
      </c>
      <c r="Q110" s="17">
        <v>8050846004511</v>
      </c>
      <c r="R110">
        <v>20</v>
      </c>
    </row>
    <row r="111" spans="1:18">
      <c r="A111" t="s">
        <v>46</v>
      </c>
      <c r="B111">
        <v>17</v>
      </c>
      <c r="D111" t="s">
        <v>1782</v>
      </c>
      <c r="E111" s="16">
        <v>8050846004504</v>
      </c>
      <c r="F111">
        <v>3</v>
      </c>
      <c r="H111">
        <v>1</v>
      </c>
      <c r="I111">
        <v>20</v>
      </c>
      <c r="J111" t="s">
        <v>325</v>
      </c>
      <c r="Q111" s="17">
        <v>8050846004504</v>
      </c>
      <c r="R111">
        <v>20</v>
      </c>
    </row>
    <row r="112" spans="1:18">
      <c r="A112" t="s">
        <v>49</v>
      </c>
      <c r="B112">
        <v>130</v>
      </c>
      <c r="D112" t="s">
        <v>1783</v>
      </c>
      <c r="E112" s="16">
        <v>8050846004931</v>
      </c>
      <c r="F112">
        <v>3</v>
      </c>
      <c r="H112">
        <v>1</v>
      </c>
      <c r="I112">
        <v>99</v>
      </c>
      <c r="J112" t="s">
        <v>325</v>
      </c>
      <c r="Q112" s="17">
        <v>8050846004931</v>
      </c>
      <c r="R112">
        <v>99</v>
      </c>
    </row>
    <row r="113" spans="1:18">
      <c r="A113" t="s">
        <v>26</v>
      </c>
      <c r="B113">
        <v>486</v>
      </c>
      <c r="D113" t="s">
        <v>1784</v>
      </c>
      <c r="E113" s="16">
        <v>8050846006591</v>
      </c>
      <c r="F113">
        <v>3</v>
      </c>
      <c r="H113">
        <v>1</v>
      </c>
      <c r="I113">
        <v>6</v>
      </c>
      <c r="J113" t="s">
        <v>325</v>
      </c>
      <c r="Q113" s="17">
        <v>8050846006591</v>
      </c>
      <c r="R113">
        <v>6</v>
      </c>
    </row>
    <row r="114" spans="1:18">
      <c r="A114" t="s">
        <v>2</v>
      </c>
      <c r="B114">
        <v>371</v>
      </c>
      <c r="D114" t="s">
        <v>1785</v>
      </c>
      <c r="E114" s="16">
        <v>8050846011403</v>
      </c>
      <c r="F114">
        <v>3</v>
      </c>
      <c r="H114">
        <v>2</v>
      </c>
      <c r="I114">
        <v>10</v>
      </c>
      <c r="J114" t="s">
        <v>317</v>
      </c>
      <c r="K114" s="17">
        <v>8050846011403</v>
      </c>
      <c r="L114" t="s">
        <v>1715</v>
      </c>
      <c r="Q114" s="17"/>
      <c r="R114">
        <v>17</v>
      </c>
    </row>
    <row r="115" spans="1:18">
      <c r="A115" t="s">
        <v>50</v>
      </c>
      <c r="B115">
        <v>347</v>
      </c>
      <c r="D115" t="s">
        <v>1786</v>
      </c>
      <c r="E115" s="16">
        <v>8050846003330</v>
      </c>
      <c r="F115">
        <v>3</v>
      </c>
      <c r="H115">
        <v>1</v>
      </c>
      <c r="I115">
        <v>7</v>
      </c>
      <c r="J115" t="s">
        <v>325</v>
      </c>
      <c r="Q115" s="17">
        <v>8050846003330</v>
      </c>
      <c r="R115">
        <v>7</v>
      </c>
    </row>
    <row r="116" spans="1:18">
      <c r="A116" t="s">
        <v>2</v>
      </c>
      <c r="B116">
        <v>422</v>
      </c>
      <c r="D116" t="s">
        <v>1787</v>
      </c>
      <c r="E116" s="16">
        <v>8050846006317</v>
      </c>
      <c r="F116">
        <v>3</v>
      </c>
      <c r="H116">
        <v>1</v>
      </c>
      <c r="I116">
        <v>17</v>
      </c>
      <c r="J116" t="s">
        <v>325</v>
      </c>
      <c r="Q116" s="17">
        <v>8050846006317</v>
      </c>
      <c r="R116">
        <v>17</v>
      </c>
    </row>
    <row r="117" spans="1:18">
      <c r="A117" t="s">
        <v>51</v>
      </c>
      <c r="B117">
        <v>36</v>
      </c>
      <c r="D117" t="s">
        <v>1788</v>
      </c>
      <c r="E117" s="16">
        <v>8050846002616</v>
      </c>
      <c r="F117">
        <v>8</v>
      </c>
      <c r="H117">
        <v>1</v>
      </c>
      <c r="I117">
        <v>36</v>
      </c>
      <c r="J117" t="s">
        <v>325</v>
      </c>
      <c r="Q117" s="17">
        <v>8050846002616</v>
      </c>
      <c r="R117">
        <v>36</v>
      </c>
    </row>
    <row r="118" spans="1:18">
      <c r="A118" t="s">
        <v>52</v>
      </c>
      <c r="B118">
        <v>8</v>
      </c>
      <c r="D118" t="s">
        <v>1789</v>
      </c>
      <c r="E118" s="16">
        <v>8050846002326</v>
      </c>
      <c r="F118">
        <v>2</v>
      </c>
      <c r="H118">
        <v>2</v>
      </c>
      <c r="I118">
        <v>34</v>
      </c>
      <c r="J118" t="s">
        <v>317</v>
      </c>
      <c r="K118" s="17">
        <v>8050846002326</v>
      </c>
      <c r="L118" t="s">
        <v>1790</v>
      </c>
      <c r="O118" s="17"/>
      <c r="Q118" s="17">
        <v>8050846002326</v>
      </c>
      <c r="R118">
        <v>115</v>
      </c>
    </row>
    <row r="119" spans="1:18">
      <c r="A119" t="s">
        <v>6</v>
      </c>
      <c r="B119">
        <v>55</v>
      </c>
      <c r="D119" t="s">
        <v>1791</v>
      </c>
      <c r="E119" s="16">
        <v>8050846002425</v>
      </c>
      <c r="F119">
        <v>2</v>
      </c>
      <c r="H119">
        <v>1</v>
      </c>
      <c r="I119">
        <v>131</v>
      </c>
      <c r="J119" t="s">
        <v>325</v>
      </c>
      <c r="K119" s="17"/>
      <c r="O119" s="17"/>
      <c r="Q119" s="17">
        <v>8050846002425</v>
      </c>
      <c r="R119">
        <v>131</v>
      </c>
    </row>
    <row r="120" spans="1:18">
      <c r="A120" t="s">
        <v>53</v>
      </c>
      <c r="B120">
        <v>227</v>
      </c>
      <c r="D120" t="s">
        <v>1792</v>
      </c>
      <c r="E120" s="16">
        <v>8050846001725</v>
      </c>
      <c r="F120">
        <v>2</v>
      </c>
      <c r="H120">
        <v>1</v>
      </c>
      <c r="I120">
        <v>138</v>
      </c>
      <c r="J120" t="s">
        <v>325</v>
      </c>
      <c r="M120" s="17"/>
      <c r="Q120" s="17">
        <v>8050846001725</v>
      </c>
      <c r="R120">
        <v>138</v>
      </c>
    </row>
    <row r="121" spans="1:18">
      <c r="A121" t="s">
        <v>54</v>
      </c>
      <c r="B121">
        <v>36</v>
      </c>
      <c r="D121" t="s">
        <v>1793</v>
      </c>
      <c r="E121" s="16">
        <v>8050846002548</v>
      </c>
      <c r="F121">
        <v>6</v>
      </c>
      <c r="H121">
        <v>1</v>
      </c>
      <c r="I121">
        <v>67</v>
      </c>
      <c r="J121" t="s">
        <v>325</v>
      </c>
      <c r="M121" s="17"/>
      <c r="Q121" s="17">
        <v>8050846002548</v>
      </c>
      <c r="R121">
        <v>67</v>
      </c>
    </row>
    <row r="122" spans="1:18">
      <c r="A122" t="s">
        <v>54</v>
      </c>
      <c r="B122">
        <v>422</v>
      </c>
      <c r="D122" t="s">
        <v>1794</v>
      </c>
      <c r="E122" s="16">
        <v>8050846002562</v>
      </c>
      <c r="F122">
        <v>6</v>
      </c>
      <c r="H122">
        <v>1</v>
      </c>
      <c r="I122">
        <v>67</v>
      </c>
      <c r="J122" t="s">
        <v>325</v>
      </c>
      <c r="K122" s="17"/>
      <c r="M122" s="17"/>
      <c r="Q122" s="17">
        <v>8050846002562</v>
      </c>
      <c r="R122">
        <v>67</v>
      </c>
    </row>
    <row r="123" spans="1:18">
      <c r="A123" t="s">
        <v>55</v>
      </c>
      <c r="B123">
        <v>55</v>
      </c>
      <c r="D123" t="s">
        <v>1795</v>
      </c>
      <c r="E123" s="16">
        <v>8050846007758</v>
      </c>
      <c r="F123">
        <v>3</v>
      </c>
      <c r="H123">
        <v>1</v>
      </c>
      <c r="I123">
        <v>166</v>
      </c>
      <c r="J123" t="s">
        <v>325</v>
      </c>
      <c r="K123" s="17"/>
      <c r="M123" s="17"/>
      <c r="Q123" s="17">
        <v>8050846007758</v>
      </c>
      <c r="R123">
        <v>166</v>
      </c>
    </row>
    <row r="124" spans="1:18">
      <c r="A124" t="s">
        <v>56</v>
      </c>
      <c r="B124">
        <v>8</v>
      </c>
      <c r="D124" t="s">
        <v>1796</v>
      </c>
      <c r="E124" s="16">
        <v>8050846007840</v>
      </c>
      <c r="F124">
        <v>3</v>
      </c>
      <c r="H124">
        <v>1</v>
      </c>
      <c r="I124">
        <v>183</v>
      </c>
      <c r="J124" t="s">
        <v>325</v>
      </c>
      <c r="Q124" s="17">
        <v>8050846007840</v>
      </c>
      <c r="R124">
        <v>183</v>
      </c>
    </row>
    <row r="125" spans="1:18">
      <c r="A125" t="s">
        <v>57</v>
      </c>
      <c r="B125">
        <v>497</v>
      </c>
      <c r="D125" t="s">
        <v>1797</v>
      </c>
      <c r="E125" s="16" t="s">
        <v>2212</v>
      </c>
      <c r="F125">
        <v>3</v>
      </c>
      <c r="H125">
        <v>1</v>
      </c>
      <c r="I125">
        <v>184</v>
      </c>
      <c r="J125" t="s">
        <v>325</v>
      </c>
      <c r="Q125" s="17"/>
      <c r="R125">
        <v>184</v>
      </c>
    </row>
    <row r="126" spans="1:18">
      <c r="A126" t="s">
        <v>58</v>
      </c>
      <c r="B126">
        <v>76</v>
      </c>
      <c r="D126" t="s">
        <v>1798</v>
      </c>
      <c r="E126" s="16" t="s">
        <v>2212</v>
      </c>
      <c r="F126">
        <v>2</v>
      </c>
      <c r="H126">
        <v>1</v>
      </c>
      <c r="I126">
        <v>94</v>
      </c>
      <c r="J126" t="s">
        <v>325</v>
      </c>
      <c r="Q126" s="17"/>
      <c r="R126">
        <v>94</v>
      </c>
    </row>
    <row r="127" spans="1:18">
      <c r="A127" t="s">
        <v>15</v>
      </c>
      <c r="B127">
        <v>26</v>
      </c>
      <c r="D127" t="s">
        <v>1799</v>
      </c>
      <c r="E127" s="16">
        <v>8050846004009</v>
      </c>
      <c r="F127">
        <v>2</v>
      </c>
      <c r="H127">
        <v>1</v>
      </c>
      <c r="I127">
        <v>106</v>
      </c>
      <c r="J127" t="s">
        <v>325</v>
      </c>
      <c r="Q127" s="17">
        <v>8050846004009</v>
      </c>
      <c r="R127">
        <v>106</v>
      </c>
    </row>
    <row r="128" spans="1:18">
      <c r="A128" t="s">
        <v>14</v>
      </c>
      <c r="B128">
        <v>76</v>
      </c>
      <c r="D128" t="s">
        <v>1800</v>
      </c>
      <c r="E128" s="16">
        <v>8050846003941</v>
      </c>
      <c r="F128">
        <v>2</v>
      </c>
      <c r="H128">
        <v>1</v>
      </c>
      <c r="I128">
        <v>110</v>
      </c>
      <c r="J128" t="s">
        <v>325</v>
      </c>
      <c r="Q128" s="17">
        <v>8050846003941</v>
      </c>
      <c r="R128">
        <v>110</v>
      </c>
    </row>
    <row r="129" spans="1:18">
      <c r="A129" t="s">
        <v>45</v>
      </c>
      <c r="B129">
        <v>76</v>
      </c>
      <c r="D129" t="s">
        <v>1801</v>
      </c>
      <c r="E129" s="16">
        <v>8050846004641</v>
      </c>
      <c r="F129">
        <v>3</v>
      </c>
      <c r="H129">
        <v>1</v>
      </c>
      <c r="I129">
        <v>158</v>
      </c>
      <c r="J129" t="s">
        <v>325</v>
      </c>
      <c r="Q129" s="17">
        <v>8050846004641</v>
      </c>
      <c r="R129">
        <v>158</v>
      </c>
    </row>
    <row r="130" spans="1:18">
      <c r="A130" t="s">
        <v>12</v>
      </c>
      <c r="B130">
        <v>26</v>
      </c>
      <c r="D130" t="s">
        <v>1802</v>
      </c>
      <c r="E130" s="16">
        <v>8050846007635</v>
      </c>
      <c r="F130">
        <v>3</v>
      </c>
      <c r="H130">
        <v>1</v>
      </c>
      <c r="I130">
        <v>164</v>
      </c>
      <c r="J130" t="s">
        <v>325</v>
      </c>
      <c r="Q130" s="17">
        <v>8050846007635</v>
      </c>
      <c r="R130">
        <v>164</v>
      </c>
    </row>
    <row r="131" spans="1:18">
      <c r="A131" t="s">
        <v>59</v>
      </c>
      <c r="B131">
        <v>483</v>
      </c>
      <c r="D131" t="s">
        <v>1803</v>
      </c>
      <c r="E131" s="16" t="s">
        <v>2211</v>
      </c>
      <c r="F131">
        <v>2</v>
      </c>
      <c r="H131">
        <v>0</v>
      </c>
      <c r="Q131" s="17"/>
    </row>
    <row r="132" spans="1:18">
      <c r="A132" t="s">
        <v>60</v>
      </c>
      <c r="B132">
        <v>215</v>
      </c>
      <c r="D132" t="s">
        <v>1804</v>
      </c>
      <c r="E132" s="16">
        <v>8050846005181</v>
      </c>
      <c r="F132">
        <v>2</v>
      </c>
      <c r="H132">
        <v>1</v>
      </c>
      <c r="I132">
        <v>136</v>
      </c>
      <c r="J132" t="s">
        <v>325</v>
      </c>
      <c r="Q132" s="17">
        <v>8050846005181</v>
      </c>
      <c r="R132">
        <v>136</v>
      </c>
    </row>
    <row r="133" spans="1:18">
      <c r="A133" t="s">
        <v>61</v>
      </c>
      <c r="B133">
        <v>130</v>
      </c>
      <c r="D133" t="s">
        <v>332</v>
      </c>
      <c r="E133" s="16">
        <v>8050846007659</v>
      </c>
      <c r="F133">
        <v>3</v>
      </c>
      <c r="H133">
        <v>1</v>
      </c>
      <c r="I133">
        <v>165</v>
      </c>
      <c r="J133" t="s">
        <v>325</v>
      </c>
      <c r="Q133" s="17">
        <v>8050846007659</v>
      </c>
      <c r="R133">
        <v>165</v>
      </c>
    </row>
    <row r="134" spans="1:18">
      <c r="A134" t="s">
        <v>15</v>
      </c>
      <c r="B134">
        <v>422</v>
      </c>
      <c r="D134" t="s">
        <v>1805</v>
      </c>
      <c r="E134" s="16">
        <v>8050846002234</v>
      </c>
      <c r="F134">
        <v>2</v>
      </c>
      <c r="H134">
        <v>1</v>
      </c>
      <c r="I134">
        <v>106</v>
      </c>
      <c r="J134" t="s">
        <v>325</v>
      </c>
      <c r="Q134" s="17">
        <v>8050846002234</v>
      </c>
      <c r="R134">
        <v>106</v>
      </c>
    </row>
    <row r="135" spans="1:18">
      <c r="A135" t="s">
        <v>26</v>
      </c>
      <c r="B135">
        <v>485</v>
      </c>
      <c r="D135" t="s">
        <v>334</v>
      </c>
      <c r="E135" s="16">
        <v>8050846016750</v>
      </c>
      <c r="F135">
        <v>3</v>
      </c>
      <c r="H135">
        <v>1</v>
      </c>
      <c r="I135">
        <v>6</v>
      </c>
      <c r="J135" t="s">
        <v>325</v>
      </c>
      <c r="Q135" s="17">
        <v>8050846016750</v>
      </c>
      <c r="R135">
        <v>6</v>
      </c>
    </row>
    <row r="136" spans="1:18">
      <c r="A136" t="s">
        <v>21</v>
      </c>
      <c r="B136">
        <v>71</v>
      </c>
      <c r="D136" t="s">
        <v>1806</v>
      </c>
      <c r="E136" s="16">
        <v>8051770308652</v>
      </c>
      <c r="F136">
        <v>1</v>
      </c>
      <c r="H136">
        <v>2</v>
      </c>
      <c r="I136">
        <v>4</v>
      </c>
      <c r="J136" t="s">
        <v>317</v>
      </c>
      <c r="K136" s="17">
        <v>8051770308652</v>
      </c>
      <c r="L136" t="s">
        <v>1807</v>
      </c>
      <c r="O136" s="17"/>
      <c r="P136">
        <v>4</v>
      </c>
      <c r="Q136" s="17"/>
    </row>
    <row r="137" spans="1:18">
      <c r="A137" t="s">
        <v>26</v>
      </c>
      <c r="B137">
        <v>71</v>
      </c>
      <c r="D137" t="s">
        <v>336</v>
      </c>
      <c r="E137" s="16">
        <v>8051770309819</v>
      </c>
      <c r="F137">
        <v>1</v>
      </c>
      <c r="H137">
        <v>2</v>
      </c>
      <c r="I137">
        <v>5</v>
      </c>
      <c r="J137" t="s">
        <v>317</v>
      </c>
      <c r="K137" s="17">
        <v>8051770309819</v>
      </c>
      <c r="L137" t="s">
        <v>337</v>
      </c>
      <c r="O137" s="17"/>
      <c r="P137">
        <v>5</v>
      </c>
      <c r="Q137" s="17"/>
    </row>
    <row r="138" spans="1:18">
      <c r="A138" t="s">
        <v>21</v>
      </c>
      <c r="B138">
        <v>17</v>
      </c>
      <c r="D138" t="s">
        <v>1808</v>
      </c>
      <c r="E138" s="16">
        <v>8050450217574</v>
      </c>
      <c r="F138">
        <v>1</v>
      </c>
      <c r="H138">
        <v>2</v>
      </c>
      <c r="I138">
        <v>4</v>
      </c>
      <c r="J138" t="s">
        <v>317</v>
      </c>
      <c r="K138" s="17">
        <v>8050450217574</v>
      </c>
      <c r="L138" t="s">
        <v>1807</v>
      </c>
      <c r="O138" s="17">
        <v>8050450217574</v>
      </c>
      <c r="P138">
        <v>4</v>
      </c>
      <c r="Q138" s="17"/>
    </row>
    <row r="139" spans="1:18">
      <c r="A139" t="s">
        <v>25</v>
      </c>
      <c r="B139">
        <v>71</v>
      </c>
      <c r="D139" t="s">
        <v>1809</v>
      </c>
      <c r="E139" s="16">
        <v>8056098539856</v>
      </c>
      <c r="F139">
        <v>2</v>
      </c>
      <c r="H139">
        <v>2</v>
      </c>
      <c r="I139">
        <v>6</v>
      </c>
      <c r="J139" t="s">
        <v>317</v>
      </c>
      <c r="K139" s="17">
        <v>8056098539856</v>
      </c>
      <c r="L139" t="s">
        <v>1711</v>
      </c>
      <c r="O139" s="17">
        <v>8056098539856</v>
      </c>
      <c r="P139">
        <v>8</v>
      </c>
      <c r="Q139" s="17"/>
    </row>
    <row r="140" spans="1:18">
      <c r="A140" t="s">
        <v>52</v>
      </c>
      <c r="B140">
        <v>78</v>
      </c>
      <c r="D140" t="s">
        <v>1810</v>
      </c>
      <c r="E140" s="16">
        <v>8056099171529</v>
      </c>
      <c r="F140">
        <v>2</v>
      </c>
      <c r="H140">
        <v>2</v>
      </c>
      <c r="I140">
        <v>34</v>
      </c>
      <c r="J140" t="s">
        <v>317</v>
      </c>
      <c r="K140" s="17">
        <v>8056099171529</v>
      </c>
      <c r="L140" t="s">
        <v>1790</v>
      </c>
      <c r="M140" s="17">
        <v>8056099171529</v>
      </c>
      <c r="N140" t="s">
        <v>1811</v>
      </c>
      <c r="Q140" s="17"/>
    </row>
    <row r="141" spans="1:18">
      <c r="A141" t="s">
        <v>21</v>
      </c>
      <c r="B141">
        <v>158</v>
      </c>
      <c r="D141" t="s">
        <v>1812</v>
      </c>
      <c r="E141" s="16">
        <v>8050450217451</v>
      </c>
      <c r="F141">
        <v>1</v>
      </c>
      <c r="H141">
        <v>1</v>
      </c>
      <c r="I141">
        <v>4</v>
      </c>
      <c r="J141" t="s">
        <v>324</v>
      </c>
      <c r="O141" s="17">
        <v>8050450217451</v>
      </c>
      <c r="P141">
        <v>4</v>
      </c>
      <c r="Q141" s="17"/>
    </row>
    <row r="142" spans="1:18">
      <c r="A142" t="s">
        <v>26</v>
      </c>
      <c r="B142">
        <v>76</v>
      </c>
      <c r="D142" t="s">
        <v>1813</v>
      </c>
      <c r="E142" s="16">
        <v>8050450215624</v>
      </c>
      <c r="F142">
        <v>3</v>
      </c>
      <c r="H142">
        <v>1</v>
      </c>
      <c r="I142">
        <v>6</v>
      </c>
      <c r="J142" t="s">
        <v>325</v>
      </c>
      <c r="Q142" s="17">
        <v>8050450215624</v>
      </c>
      <c r="R142">
        <v>6</v>
      </c>
    </row>
    <row r="143" spans="1:18">
      <c r="A143" t="s">
        <v>22</v>
      </c>
      <c r="B143">
        <v>76</v>
      </c>
      <c r="D143" t="s">
        <v>1814</v>
      </c>
      <c r="E143" s="16">
        <v>8050538590964</v>
      </c>
      <c r="F143">
        <v>2</v>
      </c>
      <c r="H143">
        <v>1</v>
      </c>
      <c r="I143">
        <v>8</v>
      </c>
      <c r="J143" t="s">
        <v>325</v>
      </c>
      <c r="Q143" s="17">
        <v>8050538590964</v>
      </c>
      <c r="R143">
        <v>8</v>
      </c>
    </row>
    <row r="144" spans="1:18">
      <c r="A144" t="s">
        <v>23</v>
      </c>
      <c r="B144">
        <v>76</v>
      </c>
      <c r="D144" t="s">
        <v>1815</v>
      </c>
      <c r="E144" s="16">
        <v>8056099178559</v>
      </c>
      <c r="F144">
        <v>2</v>
      </c>
      <c r="H144">
        <v>1</v>
      </c>
      <c r="I144">
        <v>10</v>
      </c>
      <c r="J144" t="s">
        <v>325</v>
      </c>
      <c r="Q144" s="17">
        <v>8056099178559</v>
      </c>
      <c r="R144">
        <v>10</v>
      </c>
    </row>
    <row r="145" spans="1:18">
      <c r="A145" t="s">
        <v>1603</v>
      </c>
      <c r="B145">
        <v>55</v>
      </c>
      <c r="D145" t="s">
        <v>1816</v>
      </c>
      <c r="E145" s="16">
        <v>8056099170003</v>
      </c>
      <c r="F145">
        <v>2</v>
      </c>
      <c r="H145">
        <v>2</v>
      </c>
      <c r="I145">
        <v>42</v>
      </c>
      <c r="J145" t="s">
        <v>317</v>
      </c>
      <c r="K145" s="17">
        <v>8056099170003</v>
      </c>
      <c r="L145" t="s">
        <v>1754</v>
      </c>
      <c r="O145" s="17">
        <v>8056099170003</v>
      </c>
      <c r="P145">
        <v>11</v>
      </c>
      <c r="Q145" s="17"/>
    </row>
    <row r="146" spans="1:18">
      <c r="A146" t="s">
        <v>1603</v>
      </c>
      <c r="B146">
        <v>78</v>
      </c>
      <c r="D146" t="s">
        <v>1817</v>
      </c>
      <c r="E146" s="16">
        <v>8056099176784</v>
      </c>
      <c r="F146">
        <v>2</v>
      </c>
      <c r="H146">
        <v>2</v>
      </c>
      <c r="I146">
        <v>42</v>
      </c>
      <c r="J146" t="s">
        <v>317</v>
      </c>
      <c r="K146" s="17">
        <v>8056099176784</v>
      </c>
      <c r="L146" t="s">
        <v>1754</v>
      </c>
      <c r="O146" s="17"/>
      <c r="P146">
        <v>11</v>
      </c>
      <c r="Q146" s="17"/>
    </row>
    <row r="147" spans="1:18">
      <c r="A147" t="s">
        <v>24</v>
      </c>
      <c r="B147">
        <v>75</v>
      </c>
      <c r="D147" t="s">
        <v>1818</v>
      </c>
      <c r="E147" s="16">
        <v>8056300455745</v>
      </c>
      <c r="F147">
        <v>3</v>
      </c>
      <c r="H147">
        <v>1</v>
      </c>
      <c r="I147">
        <v>16</v>
      </c>
      <c r="J147" t="s">
        <v>325</v>
      </c>
      <c r="Q147" s="17">
        <v>8056300455745</v>
      </c>
      <c r="R147">
        <v>16</v>
      </c>
    </row>
    <row r="148" spans="1:18">
      <c r="A148" t="s">
        <v>1</v>
      </c>
      <c r="B148">
        <v>221</v>
      </c>
      <c r="D148" t="s">
        <v>1819</v>
      </c>
      <c r="E148" s="16">
        <v>8050538595563</v>
      </c>
      <c r="F148">
        <v>6</v>
      </c>
      <c r="H148">
        <v>2</v>
      </c>
      <c r="I148">
        <v>25</v>
      </c>
      <c r="J148" t="s">
        <v>316</v>
      </c>
      <c r="M148" s="17">
        <v>8050538595563</v>
      </c>
      <c r="N148" t="s">
        <v>1820</v>
      </c>
      <c r="Q148" s="17">
        <v>8050538595563</v>
      </c>
      <c r="R148">
        <v>34</v>
      </c>
    </row>
    <row r="149" spans="1:18">
      <c r="A149" t="s">
        <v>23</v>
      </c>
      <c r="B149">
        <v>371</v>
      </c>
      <c r="D149" t="s">
        <v>1821</v>
      </c>
      <c r="E149" s="16" t="s">
        <v>2212</v>
      </c>
      <c r="F149">
        <v>1</v>
      </c>
      <c r="H149">
        <v>1</v>
      </c>
      <c r="I149">
        <v>7</v>
      </c>
      <c r="J149" t="s">
        <v>324</v>
      </c>
      <c r="K149" s="17"/>
      <c r="O149" s="17"/>
      <c r="P149">
        <v>7</v>
      </c>
      <c r="Q149" s="17"/>
    </row>
    <row r="150" spans="1:18">
      <c r="A150" t="s">
        <v>25</v>
      </c>
      <c r="B150">
        <v>371</v>
      </c>
      <c r="D150" t="s">
        <v>1822</v>
      </c>
      <c r="E150" s="16">
        <v>8050846011540</v>
      </c>
      <c r="F150">
        <v>2</v>
      </c>
      <c r="H150">
        <v>2</v>
      </c>
      <c r="I150">
        <v>6</v>
      </c>
      <c r="J150" t="s">
        <v>317</v>
      </c>
      <c r="K150" s="17">
        <v>8050846011540</v>
      </c>
      <c r="L150" t="s">
        <v>1711</v>
      </c>
      <c r="O150" s="17"/>
      <c r="P150">
        <v>8</v>
      </c>
      <c r="Q150" s="17"/>
    </row>
    <row r="151" spans="1:18">
      <c r="A151" t="s">
        <v>34</v>
      </c>
      <c r="B151">
        <v>75</v>
      </c>
      <c r="D151" t="s">
        <v>350</v>
      </c>
      <c r="E151" s="16">
        <v>8050846006881</v>
      </c>
      <c r="F151">
        <v>2</v>
      </c>
      <c r="H151">
        <v>1</v>
      </c>
      <c r="I151">
        <v>13</v>
      </c>
      <c r="J151" t="s">
        <v>325</v>
      </c>
      <c r="Q151" s="17">
        <v>8050846006881</v>
      </c>
      <c r="R151">
        <v>13</v>
      </c>
    </row>
    <row r="152" spans="1:18">
      <c r="A152" t="s">
        <v>13</v>
      </c>
      <c r="B152">
        <v>130</v>
      </c>
      <c r="D152" t="s">
        <v>1823</v>
      </c>
      <c r="E152" s="16">
        <v>8050846003781</v>
      </c>
      <c r="F152">
        <v>2</v>
      </c>
      <c r="H152">
        <v>1</v>
      </c>
      <c r="I152">
        <v>101</v>
      </c>
      <c r="J152" t="s">
        <v>325</v>
      </c>
      <c r="Q152" s="17">
        <v>8050846003781</v>
      </c>
      <c r="R152">
        <v>101</v>
      </c>
    </row>
    <row r="153" spans="1:18">
      <c r="A153" t="s">
        <v>62</v>
      </c>
      <c r="B153">
        <v>8</v>
      </c>
      <c r="D153" t="s">
        <v>1824</v>
      </c>
      <c r="E153" s="16">
        <v>8050846005099</v>
      </c>
      <c r="F153">
        <v>2</v>
      </c>
      <c r="H153">
        <v>1</v>
      </c>
      <c r="I153">
        <v>116</v>
      </c>
      <c r="J153" t="s">
        <v>325</v>
      </c>
      <c r="Q153" s="17">
        <v>8050846005099</v>
      </c>
      <c r="R153">
        <v>116</v>
      </c>
    </row>
    <row r="154" spans="1:18">
      <c r="A154" t="s">
        <v>24</v>
      </c>
      <c r="B154">
        <v>479</v>
      </c>
      <c r="D154" t="s">
        <v>1825</v>
      </c>
      <c r="E154" s="16">
        <v>8050846006959</v>
      </c>
      <c r="F154">
        <v>3</v>
      </c>
      <c r="H154">
        <v>1</v>
      </c>
      <c r="I154">
        <v>16</v>
      </c>
      <c r="J154" t="s">
        <v>325</v>
      </c>
      <c r="Q154" s="17">
        <v>8050846006959</v>
      </c>
      <c r="R154">
        <v>16</v>
      </c>
    </row>
    <row r="155" spans="1:18">
      <c r="A155" t="s">
        <v>63</v>
      </c>
      <c r="B155">
        <v>480</v>
      </c>
      <c r="D155" t="s">
        <v>1826</v>
      </c>
      <c r="E155" s="16">
        <v>8050846004030</v>
      </c>
      <c r="F155">
        <v>2</v>
      </c>
      <c r="H155">
        <v>1</v>
      </c>
      <c r="I155">
        <v>115</v>
      </c>
      <c r="J155" t="s">
        <v>325</v>
      </c>
      <c r="Q155" s="17">
        <v>8050846004030</v>
      </c>
      <c r="R155">
        <v>115</v>
      </c>
    </row>
    <row r="156" spans="1:18">
      <c r="A156" t="s">
        <v>64</v>
      </c>
      <c r="B156">
        <v>483</v>
      </c>
      <c r="D156" t="s">
        <v>1827</v>
      </c>
      <c r="E156" s="16">
        <v>8050846005600</v>
      </c>
      <c r="F156">
        <v>3</v>
      </c>
      <c r="H156">
        <v>1</v>
      </c>
      <c r="I156">
        <v>55</v>
      </c>
      <c r="J156" t="s">
        <v>325</v>
      </c>
      <c r="Q156" s="17">
        <v>8050846005600</v>
      </c>
      <c r="R156">
        <v>55</v>
      </c>
    </row>
    <row r="157" spans="1:18">
      <c r="A157" t="s">
        <v>29</v>
      </c>
      <c r="B157">
        <v>36</v>
      </c>
      <c r="D157" t="s">
        <v>1828</v>
      </c>
      <c r="E157" s="16" t="s">
        <v>2211</v>
      </c>
      <c r="F157">
        <v>2</v>
      </c>
      <c r="H157">
        <v>0</v>
      </c>
      <c r="Q157" s="17"/>
    </row>
    <row r="158" spans="1:18">
      <c r="A158" t="s">
        <v>29</v>
      </c>
      <c r="B158">
        <v>133</v>
      </c>
      <c r="D158" t="s">
        <v>1829</v>
      </c>
      <c r="E158" s="16">
        <v>8050846005433</v>
      </c>
      <c r="F158">
        <v>2</v>
      </c>
      <c r="H158">
        <v>1</v>
      </c>
      <c r="I158">
        <v>159</v>
      </c>
      <c r="J158" t="s">
        <v>325</v>
      </c>
      <c r="Q158" s="17">
        <v>8050846005433</v>
      </c>
      <c r="R158">
        <v>159</v>
      </c>
    </row>
    <row r="159" spans="1:18">
      <c r="A159" t="s">
        <v>32</v>
      </c>
      <c r="B159">
        <v>75</v>
      </c>
      <c r="D159" t="s">
        <v>1830</v>
      </c>
      <c r="E159" s="16">
        <v>8050846005327</v>
      </c>
      <c r="F159">
        <v>6</v>
      </c>
      <c r="H159">
        <v>1</v>
      </c>
      <c r="I159">
        <v>35</v>
      </c>
      <c r="J159" t="s">
        <v>325</v>
      </c>
      <c r="Q159" s="17">
        <v>8050846005327</v>
      </c>
      <c r="R159">
        <v>35</v>
      </c>
    </row>
    <row r="160" spans="1:18">
      <c r="A160" t="s">
        <v>1593</v>
      </c>
      <c r="B160">
        <v>130</v>
      </c>
      <c r="D160" t="s">
        <v>1831</v>
      </c>
      <c r="E160" s="16">
        <v>8050846003897</v>
      </c>
      <c r="F160">
        <v>2</v>
      </c>
      <c r="H160">
        <v>1</v>
      </c>
      <c r="I160">
        <v>125</v>
      </c>
      <c r="J160" t="s">
        <v>325</v>
      </c>
      <c r="Q160" s="17">
        <v>8050846003897</v>
      </c>
      <c r="R160">
        <v>125</v>
      </c>
    </row>
    <row r="161" spans="1:18">
      <c r="A161" t="s">
        <v>0</v>
      </c>
      <c r="B161">
        <v>76</v>
      </c>
      <c r="D161" t="s">
        <v>361</v>
      </c>
      <c r="E161" s="16">
        <v>8050846001800</v>
      </c>
      <c r="F161">
        <v>2</v>
      </c>
      <c r="H161">
        <v>1</v>
      </c>
      <c r="I161">
        <v>92</v>
      </c>
      <c r="J161" t="s">
        <v>325</v>
      </c>
      <c r="M161" s="17"/>
      <c r="Q161" s="17">
        <v>8050846001800</v>
      </c>
      <c r="R161">
        <v>92</v>
      </c>
    </row>
    <row r="162" spans="1:18">
      <c r="A162" t="s">
        <v>1641</v>
      </c>
      <c r="B162">
        <v>17</v>
      </c>
      <c r="D162" t="s">
        <v>1832</v>
      </c>
      <c r="E162" s="16">
        <v>8050846004191</v>
      </c>
      <c r="F162">
        <v>4</v>
      </c>
      <c r="H162">
        <v>1</v>
      </c>
      <c r="I162">
        <v>122</v>
      </c>
      <c r="J162" t="s">
        <v>325</v>
      </c>
      <c r="K162" s="17"/>
      <c r="M162" s="17"/>
      <c r="Q162" s="17">
        <v>8050846004191</v>
      </c>
      <c r="R162">
        <v>122</v>
      </c>
    </row>
    <row r="163" spans="1:18">
      <c r="A163" t="s">
        <v>65</v>
      </c>
      <c r="B163">
        <v>227</v>
      </c>
      <c r="D163" t="s">
        <v>1833</v>
      </c>
      <c r="E163" s="16" t="s">
        <v>2212</v>
      </c>
      <c r="F163">
        <v>2</v>
      </c>
      <c r="H163">
        <v>1</v>
      </c>
      <c r="I163">
        <v>76</v>
      </c>
      <c r="J163" t="s">
        <v>325</v>
      </c>
      <c r="O163" s="17"/>
      <c r="Q163" s="17"/>
      <c r="R163">
        <v>76</v>
      </c>
    </row>
    <row r="164" spans="1:18">
      <c r="A164" t="s">
        <v>3</v>
      </c>
      <c r="B164">
        <v>472</v>
      </c>
      <c r="D164" t="s">
        <v>1834</v>
      </c>
      <c r="E164" s="16">
        <v>8050846904149</v>
      </c>
      <c r="F164">
        <v>3</v>
      </c>
      <c r="H164">
        <v>1</v>
      </c>
      <c r="I164">
        <v>51</v>
      </c>
      <c r="J164" t="s">
        <v>325</v>
      </c>
      <c r="M164" s="17"/>
      <c r="Q164" s="17">
        <v>8050846904149</v>
      </c>
      <c r="R164">
        <v>51</v>
      </c>
    </row>
    <row r="165" spans="1:18">
      <c r="A165" t="s">
        <v>8</v>
      </c>
      <c r="B165">
        <v>55</v>
      </c>
      <c r="D165" t="s">
        <v>363</v>
      </c>
      <c r="E165" s="16">
        <v>8050846002746</v>
      </c>
      <c r="F165">
        <v>2</v>
      </c>
      <c r="H165">
        <v>1</v>
      </c>
      <c r="I165">
        <v>158</v>
      </c>
      <c r="J165" t="s">
        <v>325</v>
      </c>
      <c r="Q165" s="17">
        <v>8050846002746</v>
      </c>
      <c r="R165">
        <v>158</v>
      </c>
    </row>
    <row r="166" spans="1:18">
      <c r="A166" t="s">
        <v>46</v>
      </c>
      <c r="B166">
        <v>489</v>
      </c>
      <c r="D166" t="s">
        <v>1771</v>
      </c>
      <c r="E166" s="16">
        <v>8050846004528</v>
      </c>
      <c r="F166">
        <v>2</v>
      </c>
      <c r="H166">
        <v>1</v>
      </c>
      <c r="I166">
        <v>20</v>
      </c>
      <c r="J166" t="s">
        <v>325</v>
      </c>
      <c r="Q166" s="17">
        <v>8050846004528</v>
      </c>
      <c r="R166">
        <v>20</v>
      </c>
    </row>
    <row r="167" spans="1:18">
      <c r="A167" t="s">
        <v>66</v>
      </c>
      <c r="B167">
        <v>476</v>
      </c>
      <c r="D167" t="s">
        <v>1835</v>
      </c>
      <c r="E167" s="16">
        <v>8050846004092</v>
      </c>
      <c r="F167">
        <v>2</v>
      </c>
      <c r="H167">
        <v>1</v>
      </c>
      <c r="I167">
        <v>132</v>
      </c>
      <c r="J167" t="s">
        <v>325</v>
      </c>
      <c r="Q167" s="17">
        <v>8050846004092</v>
      </c>
      <c r="R167">
        <v>132</v>
      </c>
    </row>
    <row r="168" spans="1:18">
      <c r="A168" t="s">
        <v>67</v>
      </c>
      <c r="B168">
        <v>500</v>
      </c>
      <c r="D168" t="s">
        <v>1836</v>
      </c>
      <c r="E168" s="16" t="s">
        <v>2211</v>
      </c>
      <c r="F168">
        <v>4</v>
      </c>
      <c r="H168">
        <v>0</v>
      </c>
      <c r="Q168" s="17"/>
    </row>
    <row r="169" spans="1:18">
      <c r="A169" t="s">
        <v>68</v>
      </c>
      <c r="B169">
        <v>36</v>
      </c>
      <c r="D169" t="s">
        <v>1837</v>
      </c>
      <c r="E169" s="16">
        <v>8050846002128</v>
      </c>
      <c r="F169">
        <v>2</v>
      </c>
      <c r="H169">
        <v>1</v>
      </c>
      <c r="I169">
        <v>100</v>
      </c>
      <c r="J169" t="s">
        <v>325</v>
      </c>
      <c r="Q169" s="17">
        <v>8050846002128</v>
      </c>
      <c r="R169">
        <v>100</v>
      </c>
    </row>
    <row r="170" spans="1:18">
      <c r="A170" t="s">
        <v>49</v>
      </c>
      <c r="B170">
        <v>422</v>
      </c>
      <c r="D170" t="s">
        <v>1838</v>
      </c>
      <c r="E170" s="16">
        <v>8050846002036</v>
      </c>
      <c r="F170">
        <v>3</v>
      </c>
      <c r="H170">
        <v>1</v>
      </c>
      <c r="I170">
        <v>99</v>
      </c>
      <c r="J170" t="s">
        <v>325</v>
      </c>
      <c r="Q170" s="17">
        <v>8050846002036</v>
      </c>
      <c r="R170">
        <v>99</v>
      </c>
    </row>
    <row r="171" spans="1:18">
      <c r="A171" t="s">
        <v>69</v>
      </c>
      <c r="B171">
        <v>75</v>
      </c>
      <c r="D171" t="s">
        <v>1839</v>
      </c>
      <c r="E171" s="16" t="s">
        <v>2211</v>
      </c>
      <c r="F171">
        <v>2</v>
      </c>
      <c r="H171">
        <v>0</v>
      </c>
      <c r="Q171" s="17"/>
    </row>
    <row r="172" spans="1:18">
      <c r="A172" t="s">
        <v>4</v>
      </c>
      <c r="B172">
        <v>371</v>
      </c>
      <c r="D172" t="s">
        <v>1840</v>
      </c>
      <c r="E172" s="16">
        <v>8050846003095</v>
      </c>
      <c r="F172">
        <v>2</v>
      </c>
      <c r="H172">
        <v>1</v>
      </c>
      <c r="I172">
        <v>48</v>
      </c>
      <c r="J172" t="s">
        <v>325</v>
      </c>
      <c r="Q172" s="17">
        <v>8050846003095</v>
      </c>
      <c r="R172">
        <v>48</v>
      </c>
    </row>
    <row r="173" spans="1:18">
      <c r="A173" t="s">
        <v>9</v>
      </c>
      <c r="B173">
        <v>76</v>
      </c>
      <c r="D173" t="s">
        <v>1841</v>
      </c>
      <c r="E173" s="16">
        <v>8050846002654</v>
      </c>
      <c r="F173">
        <v>3</v>
      </c>
      <c r="H173">
        <v>1</v>
      </c>
      <c r="I173">
        <v>20</v>
      </c>
      <c r="J173" t="s">
        <v>325</v>
      </c>
      <c r="Q173" s="17">
        <v>8050846002654</v>
      </c>
      <c r="R173">
        <v>20</v>
      </c>
    </row>
    <row r="174" spans="1:18">
      <c r="A174" t="s">
        <v>51</v>
      </c>
      <c r="B174">
        <v>371</v>
      </c>
      <c r="D174" t="s">
        <v>1842</v>
      </c>
      <c r="E174" s="16">
        <v>8050846002623</v>
      </c>
      <c r="F174">
        <v>8</v>
      </c>
      <c r="H174">
        <v>1</v>
      </c>
      <c r="I174">
        <v>36</v>
      </c>
      <c r="J174" t="s">
        <v>325</v>
      </c>
      <c r="Q174" s="17">
        <v>8050846002623</v>
      </c>
      <c r="R174">
        <v>36</v>
      </c>
    </row>
    <row r="175" spans="1:18">
      <c r="A175" t="s">
        <v>4</v>
      </c>
      <c r="B175">
        <v>36</v>
      </c>
      <c r="D175" t="s">
        <v>1843</v>
      </c>
      <c r="E175" s="16">
        <v>8050846003064</v>
      </c>
      <c r="F175">
        <v>2</v>
      </c>
      <c r="H175">
        <v>1</v>
      </c>
      <c r="I175">
        <v>48</v>
      </c>
      <c r="J175" t="s">
        <v>325</v>
      </c>
      <c r="O175" s="17"/>
      <c r="Q175" s="17">
        <v>8050846003064</v>
      </c>
      <c r="R175">
        <v>48</v>
      </c>
    </row>
    <row r="176" spans="1:18">
      <c r="A176" t="s">
        <v>70</v>
      </c>
      <c r="B176">
        <v>36</v>
      </c>
      <c r="D176" t="s">
        <v>1844</v>
      </c>
      <c r="E176" s="16">
        <v>8050846002296</v>
      </c>
      <c r="F176">
        <v>2</v>
      </c>
      <c r="H176">
        <v>1</v>
      </c>
      <c r="I176">
        <v>114</v>
      </c>
      <c r="J176" t="s">
        <v>325</v>
      </c>
      <c r="O176" s="17"/>
      <c r="Q176" s="17">
        <v>8050846002296</v>
      </c>
      <c r="R176">
        <v>114</v>
      </c>
    </row>
    <row r="177" spans="1:18">
      <c r="A177" t="s">
        <v>1593</v>
      </c>
      <c r="B177">
        <v>17</v>
      </c>
      <c r="D177" t="s">
        <v>1845</v>
      </c>
      <c r="E177" s="16">
        <v>8050846003903</v>
      </c>
      <c r="F177">
        <v>2</v>
      </c>
      <c r="H177">
        <v>1</v>
      </c>
      <c r="I177">
        <v>125</v>
      </c>
      <c r="J177" t="s">
        <v>325</v>
      </c>
      <c r="M177" s="17"/>
      <c r="Q177" s="17">
        <v>8050846003903</v>
      </c>
      <c r="R177">
        <v>125</v>
      </c>
    </row>
    <row r="178" spans="1:18">
      <c r="A178" t="s">
        <v>71</v>
      </c>
      <c r="B178">
        <v>227</v>
      </c>
      <c r="D178" t="s">
        <v>1846</v>
      </c>
      <c r="E178" s="16">
        <v>8050846002401</v>
      </c>
      <c r="F178">
        <v>2</v>
      </c>
      <c r="H178">
        <v>1</v>
      </c>
      <c r="I178">
        <v>130</v>
      </c>
      <c r="J178" t="s">
        <v>325</v>
      </c>
      <c r="K178" s="17"/>
      <c r="O178" s="17"/>
      <c r="Q178" s="17">
        <v>8050846002401</v>
      </c>
      <c r="R178">
        <v>130</v>
      </c>
    </row>
    <row r="179" spans="1:18">
      <c r="A179" t="s">
        <v>7</v>
      </c>
      <c r="B179">
        <v>422</v>
      </c>
      <c r="D179" t="s">
        <v>1847</v>
      </c>
      <c r="E179" s="16">
        <v>8050846003170</v>
      </c>
      <c r="F179">
        <v>4</v>
      </c>
      <c r="H179">
        <v>1</v>
      </c>
      <c r="I179">
        <v>53</v>
      </c>
      <c r="J179" t="s">
        <v>325</v>
      </c>
      <c r="O179" s="17"/>
      <c r="Q179" s="17">
        <v>8050846003170</v>
      </c>
      <c r="R179">
        <v>53</v>
      </c>
    </row>
    <row r="180" spans="1:18">
      <c r="A180" t="s">
        <v>54</v>
      </c>
      <c r="B180">
        <v>371</v>
      </c>
      <c r="D180" t="s">
        <v>1848</v>
      </c>
      <c r="E180" s="16">
        <v>8050846002579</v>
      </c>
      <c r="F180">
        <v>6</v>
      </c>
      <c r="H180">
        <v>1</v>
      </c>
      <c r="I180">
        <v>67</v>
      </c>
      <c r="J180" t="s">
        <v>325</v>
      </c>
      <c r="K180" s="17"/>
      <c r="O180" s="17"/>
      <c r="Q180" s="17">
        <v>8050846002579</v>
      </c>
      <c r="R180">
        <v>67</v>
      </c>
    </row>
    <row r="181" spans="1:18">
      <c r="A181" t="s">
        <v>57</v>
      </c>
      <c r="B181">
        <v>498</v>
      </c>
      <c r="D181" t="s">
        <v>1849</v>
      </c>
      <c r="E181" s="16" t="s">
        <v>2212</v>
      </c>
      <c r="F181">
        <v>3</v>
      </c>
      <c r="H181">
        <v>1</v>
      </c>
      <c r="I181">
        <v>184</v>
      </c>
      <c r="J181" t="s">
        <v>325</v>
      </c>
      <c r="K181" s="17"/>
      <c r="O181" s="17"/>
      <c r="Q181" s="17"/>
      <c r="R181">
        <v>184</v>
      </c>
    </row>
    <row r="182" spans="1:18">
      <c r="A182" t="s">
        <v>57</v>
      </c>
      <c r="B182">
        <v>499</v>
      </c>
      <c r="D182" t="s">
        <v>1850</v>
      </c>
      <c r="E182" s="16" t="s">
        <v>2212</v>
      </c>
      <c r="F182">
        <v>3</v>
      </c>
      <c r="H182">
        <v>1</v>
      </c>
      <c r="I182">
        <v>184</v>
      </c>
      <c r="J182" t="s">
        <v>325</v>
      </c>
      <c r="O182" s="17"/>
      <c r="Q182" s="17"/>
      <c r="R182">
        <v>184</v>
      </c>
    </row>
    <row r="183" spans="1:18">
      <c r="A183" t="s">
        <v>1643</v>
      </c>
      <c r="B183">
        <v>227</v>
      </c>
      <c r="D183" t="s">
        <v>1851</v>
      </c>
      <c r="E183" s="16" t="s">
        <v>2212</v>
      </c>
      <c r="F183">
        <v>4</v>
      </c>
      <c r="H183">
        <v>1</v>
      </c>
      <c r="I183">
        <v>241</v>
      </c>
      <c r="J183" t="s">
        <v>325</v>
      </c>
      <c r="O183" s="17"/>
      <c r="Q183" s="17"/>
      <c r="R183">
        <v>241</v>
      </c>
    </row>
    <row r="184" spans="1:18">
      <c r="A184" t="s">
        <v>1600</v>
      </c>
      <c r="B184">
        <v>347</v>
      </c>
      <c r="D184" t="s">
        <v>1852</v>
      </c>
      <c r="E184" s="16">
        <v>8050846007345</v>
      </c>
      <c r="F184">
        <v>3</v>
      </c>
      <c r="H184">
        <v>1</v>
      </c>
      <c r="I184">
        <v>240</v>
      </c>
      <c r="J184" t="s">
        <v>325</v>
      </c>
      <c r="Q184" s="17">
        <v>8050846007345</v>
      </c>
      <c r="R184">
        <v>240</v>
      </c>
    </row>
    <row r="185" spans="1:18">
      <c r="A185" t="s">
        <v>2</v>
      </c>
      <c r="B185">
        <v>479</v>
      </c>
      <c r="D185" t="s">
        <v>1853</v>
      </c>
      <c r="E185" s="16" t="s">
        <v>2212</v>
      </c>
      <c r="F185">
        <v>3</v>
      </c>
      <c r="H185">
        <v>1</v>
      </c>
      <c r="I185">
        <v>17</v>
      </c>
      <c r="J185" t="s">
        <v>325</v>
      </c>
      <c r="K185" s="17"/>
      <c r="O185" s="17"/>
      <c r="Q185" s="17"/>
      <c r="R185">
        <v>17</v>
      </c>
    </row>
    <row r="186" spans="1:18">
      <c r="A186" t="s">
        <v>9</v>
      </c>
      <c r="B186">
        <v>17</v>
      </c>
      <c r="D186" t="s">
        <v>1854</v>
      </c>
      <c r="E186" s="16" t="s">
        <v>2212</v>
      </c>
      <c r="F186">
        <v>3</v>
      </c>
      <c r="H186">
        <v>1</v>
      </c>
      <c r="I186">
        <v>20</v>
      </c>
      <c r="J186" t="s">
        <v>325</v>
      </c>
      <c r="M186" s="17"/>
      <c r="Q186" s="17"/>
      <c r="R186">
        <v>20</v>
      </c>
    </row>
    <row r="187" spans="1:18">
      <c r="A187" t="s">
        <v>1644</v>
      </c>
      <c r="B187">
        <v>474</v>
      </c>
      <c r="D187" t="s">
        <v>1855</v>
      </c>
      <c r="E187" s="16">
        <v>8050846004368</v>
      </c>
      <c r="F187">
        <v>4</v>
      </c>
      <c r="H187">
        <v>1</v>
      </c>
      <c r="I187">
        <v>72</v>
      </c>
      <c r="J187" t="s">
        <v>325</v>
      </c>
      <c r="Q187" s="17">
        <v>8050846004368</v>
      </c>
      <c r="R187">
        <v>72</v>
      </c>
    </row>
    <row r="188" spans="1:18">
      <c r="A188" t="s">
        <v>45</v>
      </c>
      <c r="B188">
        <v>36</v>
      </c>
      <c r="D188" t="s">
        <v>1856</v>
      </c>
      <c r="E188" s="16">
        <v>8050846004658</v>
      </c>
      <c r="F188">
        <v>3</v>
      </c>
      <c r="H188">
        <v>1</v>
      </c>
      <c r="I188">
        <v>158</v>
      </c>
      <c r="J188" t="s">
        <v>325</v>
      </c>
      <c r="Q188" s="17">
        <v>8050846004658</v>
      </c>
      <c r="R188">
        <v>158</v>
      </c>
    </row>
    <row r="189" spans="1:18">
      <c r="A189" t="s">
        <v>72</v>
      </c>
      <c r="B189">
        <v>347</v>
      </c>
      <c r="D189" t="s">
        <v>1857</v>
      </c>
      <c r="E189" s="16">
        <v>8050846007611</v>
      </c>
      <c r="F189">
        <v>3</v>
      </c>
      <c r="H189">
        <v>1</v>
      </c>
      <c r="I189">
        <v>164</v>
      </c>
      <c r="J189" t="s">
        <v>325</v>
      </c>
      <c r="Q189" s="17">
        <v>8050846007611</v>
      </c>
      <c r="R189">
        <v>164</v>
      </c>
    </row>
    <row r="190" spans="1:18">
      <c r="A190" t="s">
        <v>72</v>
      </c>
      <c r="B190">
        <v>484</v>
      </c>
      <c r="D190" t="s">
        <v>1858</v>
      </c>
      <c r="E190" s="16">
        <v>8050846007628</v>
      </c>
      <c r="F190">
        <v>3</v>
      </c>
      <c r="H190">
        <v>1</v>
      </c>
      <c r="I190">
        <v>164</v>
      </c>
      <c r="J190" t="s">
        <v>325</v>
      </c>
      <c r="Q190" s="17">
        <v>8050846007628</v>
      </c>
      <c r="R190">
        <v>164</v>
      </c>
    </row>
    <row r="191" spans="1:18">
      <c r="A191" t="s">
        <v>73</v>
      </c>
      <c r="B191">
        <v>479</v>
      </c>
      <c r="D191" t="s">
        <v>1859</v>
      </c>
      <c r="E191" s="16">
        <v>8050846005549</v>
      </c>
      <c r="F191">
        <v>3</v>
      </c>
      <c r="H191">
        <v>1</v>
      </c>
      <c r="I191">
        <v>49</v>
      </c>
      <c r="J191" t="s">
        <v>325</v>
      </c>
      <c r="Q191" s="17">
        <v>8050846005549</v>
      </c>
      <c r="R191">
        <v>49</v>
      </c>
    </row>
    <row r="192" spans="1:18">
      <c r="A192" t="s">
        <v>33</v>
      </c>
      <c r="B192">
        <v>75</v>
      </c>
      <c r="D192" t="s">
        <v>1860</v>
      </c>
      <c r="E192" s="16">
        <v>8050846005297</v>
      </c>
      <c r="F192">
        <v>6</v>
      </c>
      <c r="H192">
        <v>1</v>
      </c>
      <c r="I192">
        <v>68</v>
      </c>
      <c r="J192" t="s">
        <v>325</v>
      </c>
      <c r="Q192" s="17">
        <v>8050846005297</v>
      </c>
      <c r="R192">
        <v>68</v>
      </c>
    </row>
    <row r="193" spans="1:18">
      <c r="A193" t="s">
        <v>1647</v>
      </c>
      <c r="B193">
        <v>125</v>
      </c>
      <c r="D193" t="s">
        <v>1861</v>
      </c>
      <c r="E193" s="16" t="s">
        <v>2212</v>
      </c>
      <c r="F193">
        <v>4</v>
      </c>
      <c r="H193">
        <v>1</v>
      </c>
      <c r="I193">
        <v>242</v>
      </c>
      <c r="J193" t="s">
        <v>325</v>
      </c>
      <c r="Q193" s="17"/>
      <c r="R193">
        <v>242</v>
      </c>
    </row>
    <row r="194" spans="1:18">
      <c r="A194" t="s">
        <v>20</v>
      </c>
      <c r="B194">
        <v>54</v>
      </c>
      <c r="D194" t="s">
        <v>1862</v>
      </c>
      <c r="E194" s="16">
        <v>8056099170621</v>
      </c>
      <c r="F194">
        <v>8</v>
      </c>
      <c r="H194">
        <v>2</v>
      </c>
      <c r="I194">
        <v>33</v>
      </c>
      <c r="J194" t="s">
        <v>316</v>
      </c>
      <c r="M194" s="17">
        <v>8056099170621</v>
      </c>
      <c r="N194" t="s">
        <v>1703</v>
      </c>
      <c r="Q194" s="17">
        <v>8056099170621</v>
      </c>
      <c r="R194">
        <v>66</v>
      </c>
    </row>
    <row r="195" spans="1:18">
      <c r="A195" t="s">
        <v>34</v>
      </c>
      <c r="B195">
        <v>55</v>
      </c>
      <c r="D195" t="s">
        <v>1863</v>
      </c>
      <c r="E195" s="16">
        <v>8056098539931</v>
      </c>
      <c r="F195">
        <v>2</v>
      </c>
      <c r="H195">
        <v>2</v>
      </c>
      <c r="I195">
        <v>7</v>
      </c>
      <c r="J195" t="s">
        <v>317</v>
      </c>
      <c r="K195" s="17">
        <v>8056098539931</v>
      </c>
      <c r="L195" t="s">
        <v>1864</v>
      </c>
      <c r="O195" s="17">
        <v>8056098539931</v>
      </c>
      <c r="P195">
        <v>9</v>
      </c>
      <c r="Q195" s="17"/>
    </row>
    <row r="196" spans="1:18">
      <c r="A196" t="s">
        <v>26</v>
      </c>
      <c r="B196">
        <v>158</v>
      </c>
      <c r="D196" t="s">
        <v>1865</v>
      </c>
      <c r="E196" s="16">
        <v>8050450218243</v>
      </c>
      <c r="F196">
        <v>1</v>
      </c>
      <c r="H196">
        <v>1</v>
      </c>
      <c r="I196">
        <v>5</v>
      </c>
      <c r="J196" t="s">
        <v>324</v>
      </c>
      <c r="O196" s="17">
        <v>8050450218243</v>
      </c>
      <c r="P196">
        <v>5</v>
      </c>
      <c r="Q196" s="17"/>
    </row>
    <row r="197" spans="1:18">
      <c r="A197" t="s">
        <v>24</v>
      </c>
      <c r="B197">
        <v>158</v>
      </c>
      <c r="D197" t="s">
        <v>1866</v>
      </c>
      <c r="E197" s="16" t="s">
        <v>2212</v>
      </c>
      <c r="F197">
        <v>1</v>
      </c>
      <c r="H197">
        <v>1</v>
      </c>
      <c r="I197">
        <v>10</v>
      </c>
      <c r="J197" t="s">
        <v>324</v>
      </c>
      <c r="O197" s="17"/>
      <c r="P197">
        <v>10</v>
      </c>
      <c r="Q197" s="17"/>
    </row>
    <row r="198" spans="1:18">
      <c r="A198" t="s">
        <v>1649</v>
      </c>
      <c r="B198">
        <v>55</v>
      </c>
      <c r="D198" t="s">
        <v>1867</v>
      </c>
      <c r="E198" s="16">
        <v>8056099171635</v>
      </c>
      <c r="F198">
        <v>18</v>
      </c>
      <c r="H198">
        <v>1</v>
      </c>
      <c r="I198">
        <v>38</v>
      </c>
      <c r="J198" t="s">
        <v>324</v>
      </c>
      <c r="O198" s="17">
        <v>8056099171635</v>
      </c>
      <c r="P198">
        <v>38</v>
      </c>
      <c r="Q198" s="17"/>
    </row>
    <row r="199" spans="1:18">
      <c r="A199" t="s">
        <v>22</v>
      </c>
      <c r="B199">
        <v>133</v>
      </c>
      <c r="D199" t="s">
        <v>1868</v>
      </c>
      <c r="E199" s="16" t="s">
        <v>2212</v>
      </c>
      <c r="F199">
        <v>1</v>
      </c>
      <c r="H199">
        <v>1</v>
      </c>
      <c r="I199">
        <v>6</v>
      </c>
      <c r="J199" t="s">
        <v>324</v>
      </c>
      <c r="O199" s="17"/>
      <c r="P199">
        <v>6</v>
      </c>
      <c r="Q199" s="17"/>
    </row>
    <row r="200" spans="1:18">
      <c r="A200" t="s">
        <v>34</v>
      </c>
      <c r="B200">
        <v>71</v>
      </c>
      <c r="D200" t="s">
        <v>1869</v>
      </c>
      <c r="E200" s="16">
        <v>8050538590056</v>
      </c>
      <c r="F200">
        <v>2</v>
      </c>
      <c r="H200">
        <v>2</v>
      </c>
      <c r="I200">
        <v>7</v>
      </c>
      <c r="J200" t="s">
        <v>317</v>
      </c>
      <c r="K200" s="17">
        <v>8050538590056</v>
      </c>
      <c r="L200" t="s">
        <v>1864</v>
      </c>
      <c r="O200" s="17"/>
      <c r="P200">
        <v>9</v>
      </c>
      <c r="Q200" s="17"/>
    </row>
    <row r="201" spans="1:18">
      <c r="A201" t="s">
        <v>23</v>
      </c>
      <c r="B201">
        <v>71</v>
      </c>
      <c r="D201" t="s">
        <v>1870</v>
      </c>
      <c r="E201" s="16" t="s">
        <v>2212</v>
      </c>
      <c r="F201">
        <v>1</v>
      </c>
      <c r="H201">
        <v>1</v>
      </c>
      <c r="I201">
        <v>7</v>
      </c>
      <c r="J201" t="s">
        <v>324</v>
      </c>
      <c r="O201" s="17"/>
      <c r="P201">
        <v>7</v>
      </c>
      <c r="Q201" s="17"/>
    </row>
    <row r="202" spans="1:18">
      <c r="A202" t="s">
        <v>74</v>
      </c>
      <c r="B202">
        <v>55</v>
      </c>
      <c r="D202" t="s">
        <v>1871</v>
      </c>
      <c r="E202" s="16">
        <v>8050450213255</v>
      </c>
      <c r="F202">
        <v>10</v>
      </c>
      <c r="H202">
        <v>2</v>
      </c>
      <c r="I202">
        <v>27</v>
      </c>
      <c r="J202" t="s">
        <v>317</v>
      </c>
      <c r="K202" s="17">
        <v>8050450213255</v>
      </c>
      <c r="L202" t="s">
        <v>1872</v>
      </c>
      <c r="O202" s="17"/>
      <c r="P202">
        <v>21</v>
      </c>
      <c r="Q202" s="17"/>
    </row>
    <row r="203" spans="1:18">
      <c r="A203" t="s">
        <v>52</v>
      </c>
      <c r="B203">
        <v>55</v>
      </c>
      <c r="D203" t="s">
        <v>1873</v>
      </c>
      <c r="E203" s="16">
        <v>8050846002319</v>
      </c>
      <c r="F203">
        <v>2</v>
      </c>
      <c r="H203">
        <v>3</v>
      </c>
      <c r="I203">
        <v>34</v>
      </c>
      <c r="J203" t="s">
        <v>317</v>
      </c>
      <c r="K203" s="17">
        <v>8050846002319</v>
      </c>
      <c r="L203" t="s">
        <v>1790</v>
      </c>
      <c r="M203" s="17" t="s">
        <v>347</v>
      </c>
      <c r="N203" t="s">
        <v>1811</v>
      </c>
      <c r="Q203" s="17">
        <v>8050846002319</v>
      </c>
      <c r="R203">
        <v>115</v>
      </c>
    </row>
    <row r="204" spans="1:18">
      <c r="A204" t="s">
        <v>75</v>
      </c>
      <c r="B204">
        <v>76</v>
      </c>
      <c r="D204" t="s">
        <v>1874</v>
      </c>
      <c r="E204" s="16">
        <v>8050846002487</v>
      </c>
      <c r="F204">
        <v>2</v>
      </c>
      <c r="H204">
        <v>1</v>
      </c>
      <c r="I204">
        <v>131</v>
      </c>
      <c r="J204" t="s">
        <v>325</v>
      </c>
      <c r="Q204" s="17">
        <v>8050846002487</v>
      </c>
      <c r="R204">
        <v>131</v>
      </c>
    </row>
    <row r="205" spans="1:18">
      <c r="A205" t="s">
        <v>22</v>
      </c>
      <c r="B205">
        <v>26</v>
      </c>
      <c r="D205" t="s">
        <v>1875</v>
      </c>
      <c r="E205" s="16">
        <v>8050846006720</v>
      </c>
      <c r="F205">
        <v>2</v>
      </c>
      <c r="H205">
        <v>1</v>
      </c>
      <c r="I205">
        <v>8</v>
      </c>
      <c r="J205" t="s">
        <v>325</v>
      </c>
      <c r="Q205" s="17">
        <v>8050846006720</v>
      </c>
      <c r="R205">
        <v>8</v>
      </c>
    </row>
    <row r="206" spans="1:18">
      <c r="A206" t="s">
        <v>25</v>
      </c>
      <c r="B206">
        <v>347</v>
      </c>
      <c r="D206" t="s">
        <v>1876</v>
      </c>
      <c r="E206" s="16">
        <v>8050846006768</v>
      </c>
      <c r="F206">
        <v>2</v>
      </c>
      <c r="H206">
        <v>1</v>
      </c>
      <c r="I206">
        <v>11</v>
      </c>
      <c r="J206" t="s">
        <v>325</v>
      </c>
      <c r="Q206" s="17">
        <v>8050846006768</v>
      </c>
      <c r="R206">
        <v>11</v>
      </c>
    </row>
    <row r="207" spans="1:18">
      <c r="A207" t="s">
        <v>25</v>
      </c>
      <c r="B207">
        <v>75</v>
      </c>
      <c r="D207" t="s">
        <v>1877</v>
      </c>
      <c r="E207" s="16">
        <v>8050846006805</v>
      </c>
      <c r="F207">
        <v>2</v>
      </c>
      <c r="H207">
        <v>1</v>
      </c>
      <c r="I207">
        <v>11</v>
      </c>
      <c r="J207" t="s">
        <v>325</v>
      </c>
      <c r="Q207" s="17">
        <v>8050846006805</v>
      </c>
      <c r="R207">
        <v>11</v>
      </c>
    </row>
    <row r="208" spans="1:18">
      <c r="A208" t="s">
        <v>22</v>
      </c>
      <c r="B208">
        <v>479</v>
      </c>
      <c r="D208" t="s">
        <v>1878</v>
      </c>
      <c r="E208" s="16">
        <v>8050846011526</v>
      </c>
      <c r="F208">
        <v>2</v>
      </c>
      <c r="H208">
        <v>1</v>
      </c>
      <c r="I208">
        <v>8</v>
      </c>
      <c r="J208" t="s">
        <v>325</v>
      </c>
      <c r="Q208" s="17">
        <v>8050846011526</v>
      </c>
      <c r="R208">
        <v>8</v>
      </c>
    </row>
    <row r="209" spans="1:18">
      <c r="A209" t="s">
        <v>1650</v>
      </c>
      <c r="B209">
        <v>473</v>
      </c>
      <c r="D209" t="s">
        <v>1879</v>
      </c>
      <c r="E209" s="16">
        <v>8050846003521</v>
      </c>
      <c r="F209">
        <v>2</v>
      </c>
      <c r="H209">
        <v>1</v>
      </c>
      <c r="I209">
        <v>139</v>
      </c>
      <c r="J209" t="s">
        <v>325</v>
      </c>
      <c r="Q209" s="17">
        <v>8050846003521</v>
      </c>
      <c r="R209">
        <v>139</v>
      </c>
    </row>
    <row r="210" spans="1:18">
      <c r="A210" t="s">
        <v>1651</v>
      </c>
      <c r="B210">
        <v>55</v>
      </c>
      <c r="D210" t="s">
        <v>1880</v>
      </c>
      <c r="E210" s="16">
        <v>8050846002685</v>
      </c>
      <c r="F210">
        <v>5</v>
      </c>
      <c r="H210">
        <v>1</v>
      </c>
      <c r="I210">
        <v>149</v>
      </c>
      <c r="J210" t="s">
        <v>325</v>
      </c>
      <c r="Q210" s="17">
        <v>8050846002685</v>
      </c>
      <c r="R210">
        <v>149</v>
      </c>
    </row>
    <row r="211" spans="1:18">
      <c r="A211" t="s">
        <v>1652</v>
      </c>
      <c r="B211">
        <v>475</v>
      </c>
      <c r="D211" t="s">
        <v>1881</v>
      </c>
      <c r="E211" s="16" t="s">
        <v>2212</v>
      </c>
      <c r="F211">
        <v>2</v>
      </c>
      <c r="H211">
        <v>1</v>
      </c>
      <c r="I211">
        <v>77</v>
      </c>
      <c r="J211" t="s">
        <v>325</v>
      </c>
      <c r="Q211" s="17"/>
      <c r="R211">
        <v>77</v>
      </c>
    </row>
    <row r="212" spans="1:18">
      <c r="A212" t="s">
        <v>29</v>
      </c>
      <c r="B212">
        <v>479</v>
      </c>
      <c r="D212" t="s">
        <v>1882</v>
      </c>
      <c r="E212" s="16">
        <v>8050846005426</v>
      </c>
      <c r="F212">
        <v>2</v>
      </c>
      <c r="H212">
        <v>1</v>
      </c>
      <c r="I212">
        <v>159</v>
      </c>
      <c r="J212" t="s">
        <v>325</v>
      </c>
      <c r="Q212" s="17">
        <v>8050846005426</v>
      </c>
      <c r="R212">
        <v>159</v>
      </c>
    </row>
    <row r="213" spans="1:18">
      <c r="A213" t="s">
        <v>76</v>
      </c>
      <c r="B213">
        <v>76</v>
      </c>
      <c r="D213" t="s">
        <v>1883</v>
      </c>
      <c r="E213" s="16">
        <v>8050846002364</v>
      </c>
      <c r="F213">
        <v>2</v>
      </c>
      <c r="H213">
        <v>1</v>
      </c>
      <c r="I213">
        <v>118</v>
      </c>
      <c r="J213" t="s">
        <v>325</v>
      </c>
      <c r="Q213" s="17">
        <v>8050846002364</v>
      </c>
      <c r="R213">
        <v>118</v>
      </c>
    </row>
    <row r="214" spans="1:18">
      <c r="A214" t="s">
        <v>29</v>
      </c>
      <c r="B214">
        <v>422</v>
      </c>
      <c r="D214" t="s">
        <v>1884</v>
      </c>
      <c r="E214" s="16">
        <v>8050846002777</v>
      </c>
      <c r="F214">
        <v>2</v>
      </c>
      <c r="H214">
        <v>1</v>
      </c>
      <c r="I214">
        <v>159</v>
      </c>
      <c r="J214" t="s">
        <v>325</v>
      </c>
      <c r="Q214" s="17">
        <v>8050846002777</v>
      </c>
      <c r="R214">
        <v>159</v>
      </c>
    </row>
    <row r="215" spans="1:18">
      <c r="A215" t="s">
        <v>77</v>
      </c>
      <c r="B215">
        <v>227</v>
      </c>
      <c r="D215" t="s">
        <v>1885</v>
      </c>
      <c r="E215" s="16">
        <v>8050846003118</v>
      </c>
      <c r="F215">
        <v>2</v>
      </c>
      <c r="H215">
        <v>1</v>
      </c>
      <c r="I215">
        <v>51</v>
      </c>
      <c r="J215" t="s">
        <v>325</v>
      </c>
      <c r="Q215" s="17">
        <v>8050846003118</v>
      </c>
      <c r="R215">
        <v>51</v>
      </c>
    </row>
    <row r="216" spans="1:18">
      <c r="A216" t="s">
        <v>51</v>
      </c>
      <c r="B216">
        <v>76</v>
      </c>
      <c r="D216" t="s">
        <v>1886</v>
      </c>
      <c r="E216" s="16">
        <v>8050846002593</v>
      </c>
      <c r="F216">
        <v>8</v>
      </c>
      <c r="H216">
        <v>1</v>
      </c>
      <c r="I216">
        <v>36</v>
      </c>
      <c r="J216" t="s">
        <v>325</v>
      </c>
      <c r="Q216" s="17">
        <v>8050846002593</v>
      </c>
      <c r="R216">
        <v>36</v>
      </c>
    </row>
    <row r="217" spans="1:18">
      <c r="A217" t="s">
        <v>78</v>
      </c>
      <c r="B217">
        <v>125</v>
      </c>
      <c r="D217" t="s">
        <v>1887</v>
      </c>
      <c r="E217" s="16">
        <v>8050846004900</v>
      </c>
      <c r="F217">
        <v>2</v>
      </c>
      <c r="H217">
        <v>1</v>
      </c>
      <c r="I217">
        <v>103</v>
      </c>
      <c r="J217" t="s">
        <v>325</v>
      </c>
      <c r="Q217" s="17">
        <v>8050846004900</v>
      </c>
      <c r="R217">
        <v>103</v>
      </c>
    </row>
    <row r="218" spans="1:18">
      <c r="A218" t="s">
        <v>2</v>
      </c>
      <c r="B218">
        <v>75</v>
      </c>
      <c r="D218" t="s">
        <v>1888</v>
      </c>
      <c r="E218" s="16">
        <v>8050846006355</v>
      </c>
      <c r="F218">
        <v>3</v>
      </c>
      <c r="H218">
        <v>1</v>
      </c>
      <c r="I218">
        <v>17</v>
      </c>
      <c r="J218" t="s">
        <v>325</v>
      </c>
      <c r="Q218" s="17">
        <v>8050846006355</v>
      </c>
      <c r="R218">
        <v>17</v>
      </c>
    </row>
    <row r="219" spans="1:18">
      <c r="A219" t="s">
        <v>34</v>
      </c>
      <c r="B219">
        <v>479</v>
      </c>
      <c r="D219" t="s">
        <v>1889</v>
      </c>
      <c r="E219" s="16">
        <v>8050846011588</v>
      </c>
      <c r="F219">
        <v>2</v>
      </c>
      <c r="H219">
        <v>1</v>
      </c>
      <c r="I219">
        <v>13</v>
      </c>
      <c r="J219" t="s">
        <v>325</v>
      </c>
      <c r="Q219" s="17">
        <v>8050846011588</v>
      </c>
      <c r="R219">
        <v>13</v>
      </c>
    </row>
    <row r="220" spans="1:18">
      <c r="A220" t="s">
        <v>79</v>
      </c>
      <c r="B220">
        <v>36</v>
      </c>
      <c r="D220" t="s">
        <v>1890</v>
      </c>
      <c r="E220" s="16">
        <v>8050846003033</v>
      </c>
      <c r="F220">
        <v>3</v>
      </c>
      <c r="H220">
        <v>1</v>
      </c>
      <c r="I220">
        <v>48</v>
      </c>
      <c r="J220" t="s">
        <v>325</v>
      </c>
      <c r="Q220" s="17">
        <v>8050846003033</v>
      </c>
      <c r="R220">
        <v>48</v>
      </c>
    </row>
    <row r="221" spans="1:18">
      <c r="A221" t="s">
        <v>1655</v>
      </c>
      <c r="B221">
        <v>55</v>
      </c>
      <c r="D221" t="s">
        <v>1891</v>
      </c>
      <c r="E221" s="16" t="s">
        <v>2212</v>
      </c>
      <c r="F221">
        <v>2</v>
      </c>
      <c r="H221">
        <v>1</v>
      </c>
      <c r="I221">
        <v>93</v>
      </c>
      <c r="J221" t="s">
        <v>325</v>
      </c>
      <c r="Q221" s="17"/>
      <c r="R221">
        <v>93</v>
      </c>
    </row>
    <row r="222" spans="1:18">
      <c r="A222" t="s">
        <v>1655</v>
      </c>
      <c r="B222">
        <v>36</v>
      </c>
      <c r="D222" t="s">
        <v>1892</v>
      </c>
      <c r="E222" s="16" t="s">
        <v>2212</v>
      </c>
      <c r="F222">
        <v>2</v>
      </c>
      <c r="H222">
        <v>1</v>
      </c>
      <c r="I222">
        <v>93</v>
      </c>
      <c r="J222" t="s">
        <v>325</v>
      </c>
      <c r="Q222" s="17"/>
      <c r="R222">
        <v>93</v>
      </c>
    </row>
    <row r="223" spans="1:18">
      <c r="A223" t="s">
        <v>0</v>
      </c>
      <c r="B223">
        <v>130</v>
      </c>
      <c r="D223" t="s">
        <v>1893</v>
      </c>
      <c r="E223" s="16">
        <v>8050846004863</v>
      </c>
      <c r="F223">
        <v>3</v>
      </c>
      <c r="H223">
        <v>1</v>
      </c>
      <c r="I223">
        <v>92</v>
      </c>
      <c r="J223" t="s">
        <v>325</v>
      </c>
      <c r="Q223" s="17">
        <v>8050846004863</v>
      </c>
      <c r="R223">
        <v>92</v>
      </c>
    </row>
    <row r="224" spans="1:18">
      <c r="A224" t="s">
        <v>49</v>
      </c>
      <c r="B224">
        <v>75</v>
      </c>
      <c r="D224" t="s">
        <v>1894</v>
      </c>
      <c r="E224" s="16">
        <v>8050846004948</v>
      </c>
      <c r="F224">
        <v>3</v>
      </c>
      <c r="H224">
        <v>1</v>
      </c>
      <c r="I224">
        <v>99</v>
      </c>
      <c r="J224" t="s">
        <v>325</v>
      </c>
      <c r="Q224" s="17">
        <v>8050846004948</v>
      </c>
      <c r="R224">
        <v>99</v>
      </c>
    </row>
    <row r="225" spans="1:18">
      <c r="A225" t="s">
        <v>63</v>
      </c>
      <c r="B225">
        <v>481</v>
      </c>
      <c r="D225" t="s">
        <v>1895</v>
      </c>
      <c r="E225" s="16">
        <v>8050846004047</v>
      </c>
      <c r="F225">
        <v>2</v>
      </c>
      <c r="H225">
        <v>1</v>
      </c>
      <c r="I225">
        <v>115</v>
      </c>
      <c r="J225" t="s">
        <v>325</v>
      </c>
      <c r="Q225" s="17">
        <v>8050846004047</v>
      </c>
      <c r="R225">
        <v>115</v>
      </c>
    </row>
    <row r="226" spans="1:18">
      <c r="A226" t="s">
        <v>80</v>
      </c>
      <c r="B226">
        <v>9</v>
      </c>
      <c r="D226" t="s">
        <v>1896</v>
      </c>
      <c r="E226" s="16">
        <v>8050846004702</v>
      </c>
      <c r="F226">
        <v>2</v>
      </c>
      <c r="H226">
        <v>1</v>
      </c>
      <c r="I226">
        <v>152</v>
      </c>
      <c r="J226" t="s">
        <v>325</v>
      </c>
      <c r="K226" s="17"/>
      <c r="O226" s="17"/>
      <c r="Q226" s="17">
        <v>8050846004702</v>
      </c>
      <c r="R226">
        <v>152</v>
      </c>
    </row>
    <row r="227" spans="1:18">
      <c r="A227" t="s">
        <v>81</v>
      </c>
      <c r="B227">
        <v>408</v>
      </c>
      <c r="D227" t="s">
        <v>1897</v>
      </c>
      <c r="E227" s="16">
        <v>8050846003859</v>
      </c>
      <c r="F227">
        <v>2</v>
      </c>
      <c r="H227">
        <v>1</v>
      </c>
      <c r="I227">
        <v>103</v>
      </c>
      <c r="J227" t="s">
        <v>325</v>
      </c>
      <c r="Q227" s="17">
        <v>8050846003859</v>
      </c>
      <c r="R227">
        <v>103</v>
      </c>
    </row>
    <row r="228" spans="1:18">
      <c r="A228" t="s">
        <v>7</v>
      </c>
      <c r="B228">
        <v>55</v>
      </c>
      <c r="D228" t="s">
        <v>1898</v>
      </c>
      <c r="E228" s="16">
        <v>8050846003156</v>
      </c>
      <c r="F228">
        <v>6</v>
      </c>
      <c r="H228">
        <v>1</v>
      </c>
      <c r="I228">
        <v>53</v>
      </c>
      <c r="J228" t="s">
        <v>325</v>
      </c>
      <c r="O228" s="17"/>
      <c r="Q228" s="17">
        <v>8050846003156</v>
      </c>
      <c r="R228">
        <v>53</v>
      </c>
    </row>
    <row r="229" spans="1:18">
      <c r="A229" t="s">
        <v>82</v>
      </c>
      <c r="B229">
        <v>26</v>
      </c>
      <c r="D229" t="s">
        <v>1899</v>
      </c>
      <c r="E229" s="16" t="s">
        <v>2212</v>
      </c>
      <c r="F229">
        <v>3</v>
      </c>
      <c r="H229">
        <v>1</v>
      </c>
      <c r="I229">
        <v>167</v>
      </c>
      <c r="J229" t="s">
        <v>325</v>
      </c>
      <c r="Q229" s="17"/>
      <c r="R229">
        <v>167</v>
      </c>
    </row>
    <row r="230" spans="1:18">
      <c r="A230" t="s">
        <v>82</v>
      </c>
      <c r="B230">
        <v>422</v>
      </c>
      <c r="D230" t="s">
        <v>1900</v>
      </c>
      <c r="E230" s="16" t="s">
        <v>2212</v>
      </c>
      <c r="F230">
        <v>3</v>
      </c>
      <c r="H230">
        <v>1</v>
      </c>
      <c r="I230">
        <v>167</v>
      </c>
      <c r="J230" t="s">
        <v>325</v>
      </c>
      <c r="Q230" s="17"/>
      <c r="R230">
        <v>167</v>
      </c>
    </row>
    <row r="231" spans="1:18">
      <c r="A231" t="s">
        <v>83</v>
      </c>
      <c r="B231">
        <v>347</v>
      </c>
      <c r="D231" t="s">
        <v>1901</v>
      </c>
      <c r="E231" s="16" t="s">
        <v>2212</v>
      </c>
      <c r="F231">
        <v>3</v>
      </c>
      <c r="H231">
        <v>1</v>
      </c>
      <c r="I231">
        <v>167</v>
      </c>
      <c r="J231" t="s">
        <v>325</v>
      </c>
      <c r="Q231" s="17"/>
      <c r="R231">
        <v>167</v>
      </c>
    </row>
    <row r="232" spans="1:18">
      <c r="A232" t="s">
        <v>31</v>
      </c>
      <c r="B232">
        <v>26</v>
      </c>
      <c r="D232" t="s">
        <v>1902</v>
      </c>
      <c r="E232" s="16">
        <v>8050846004023</v>
      </c>
      <c r="F232">
        <v>2</v>
      </c>
      <c r="H232">
        <v>1</v>
      </c>
      <c r="I232">
        <v>114</v>
      </c>
      <c r="J232" t="s">
        <v>325</v>
      </c>
      <c r="Q232" s="17">
        <v>8050846004023</v>
      </c>
      <c r="R232">
        <v>114</v>
      </c>
    </row>
    <row r="233" spans="1:18">
      <c r="A233" t="s">
        <v>84</v>
      </c>
      <c r="B233">
        <v>441</v>
      </c>
      <c r="D233" t="s">
        <v>1903</v>
      </c>
      <c r="E233" s="16">
        <v>8050846004115</v>
      </c>
      <c r="F233">
        <v>2</v>
      </c>
      <c r="H233">
        <v>1</v>
      </c>
      <c r="I233">
        <v>133</v>
      </c>
      <c r="J233" t="s">
        <v>325</v>
      </c>
      <c r="Q233" s="17">
        <v>8050846004115</v>
      </c>
      <c r="R233">
        <v>133</v>
      </c>
    </row>
    <row r="234" spans="1:18">
      <c r="A234" t="s">
        <v>85</v>
      </c>
      <c r="B234">
        <v>474</v>
      </c>
      <c r="D234" t="s">
        <v>1904</v>
      </c>
      <c r="E234" s="16">
        <v>8050846004122</v>
      </c>
      <c r="F234">
        <v>2</v>
      </c>
      <c r="H234">
        <v>1</v>
      </c>
      <c r="I234">
        <v>134</v>
      </c>
      <c r="J234" t="s">
        <v>325</v>
      </c>
      <c r="Q234" s="17">
        <v>8050846004122</v>
      </c>
      <c r="R234">
        <v>134</v>
      </c>
    </row>
    <row r="235" spans="1:18">
      <c r="A235" t="s">
        <v>86</v>
      </c>
      <c r="B235">
        <v>481</v>
      </c>
      <c r="D235" t="s">
        <v>1905</v>
      </c>
      <c r="E235" s="16">
        <v>8050846004153</v>
      </c>
      <c r="F235">
        <v>2</v>
      </c>
      <c r="H235">
        <v>1</v>
      </c>
      <c r="I235">
        <v>135</v>
      </c>
      <c r="J235" t="s">
        <v>325</v>
      </c>
      <c r="Q235" s="17">
        <v>8050846004153</v>
      </c>
      <c r="R235">
        <v>135</v>
      </c>
    </row>
    <row r="236" spans="1:18">
      <c r="A236" t="s">
        <v>87</v>
      </c>
      <c r="B236">
        <v>474</v>
      </c>
      <c r="D236" t="s">
        <v>1906</v>
      </c>
      <c r="E236" s="16">
        <v>8050846003545</v>
      </c>
      <c r="F236">
        <v>2</v>
      </c>
      <c r="H236">
        <v>1</v>
      </c>
      <c r="I236">
        <v>140</v>
      </c>
      <c r="J236" t="s">
        <v>325</v>
      </c>
      <c r="Q236" s="17">
        <v>8050846003545</v>
      </c>
      <c r="R236">
        <v>140</v>
      </c>
    </row>
    <row r="237" spans="1:18">
      <c r="A237" t="s">
        <v>54</v>
      </c>
      <c r="B237">
        <v>479</v>
      </c>
      <c r="D237" t="s">
        <v>1907</v>
      </c>
      <c r="E237" s="16">
        <v>8050846004313</v>
      </c>
      <c r="F237">
        <v>6</v>
      </c>
      <c r="H237">
        <v>1</v>
      </c>
      <c r="I237">
        <v>67</v>
      </c>
      <c r="J237" t="s">
        <v>325</v>
      </c>
      <c r="Q237" s="17">
        <v>8050846004313</v>
      </c>
      <c r="R237">
        <v>67</v>
      </c>
    </row>
    <row r="238" spans="1:18">
      <c r="A238" t="s">
        <v>88</v>
      </c>
      <c r="B238">
        <v>479</v>
      </c>
      <c r="D238" t="s">
        <v>1908</v>
      </c>
      <c r="E238" s="16" t="s">
        <v>2211</v>
      </c>
      <c r="F238">
        <v>2</v>
      </c>
      <c r="H238">
        <v>0</v>
      </c>
      <c r="Q238" s="17"/>
    </row>
    <row r="239" spans="1:18">
      <c r="A239" t="s">
        <v>1658</v>
      </c>
      <c r="B239">
        <v>72</v>
      </c>
      <c r="D239" t="s">
        <v>1909</v>
      </c>
      <c r="E239" s="16">
        <v>8050846005143</v>
      </c>
      <c r="F239">
        <v>2</v>
      </c>
      <c r="H239">
        <v>1</v>
      </c>
      <c r="I239">
        <v>135</v>
      </c>
      <c r="J239" t="s">
        <v>325</v>
      </c>
      <c r="Q239" s="17">
        <v>8050846005143</v>
      </c>
      <c r="R239">
        <v>135</v>
      </c>
    </row>
    <row r="240" spans="1:18">
      <c r="A240" t="s">
        <v>69</v>
      </c>
      <c r="B240">
        <v>479</v>
      </c>
      <c r="D240" t="s">
        <v>1910</v>
      </c>
      <c r="E240" s="16" t="s">
        <v>2211</v>
      </c>
      <c r="F240">
        <v>2</v>
      </c>
      <c r="H240">
        <v>0</v>
      </c>
    </row>
    <row r="241" spans="1:18">
      <c r="A241" t="s">
        <v>89</v>
      </c>
      <c r="B241">
        <v>483</v>
      </c>
      <c r="D241" t="s">
        <v>1911</v>
      </c>
      <c r="E241" s="16">
        <v>8050846007727</v>
      </c>
      <c r="F241">
        <v>3</v>
      </c>
      <c r="H241">
        <v>1</v>
      </c>
      <c r="I241">
        <v>183</v>
      </c>
      <c r="J241" t="s">
        <v>325</v>
      </c>
      <c r="Q241" s="17">
        <v>8050846007727</v>
      </c>
      <c r="R241">
        <v>183</v>
      </c>
    </row>
    <row r="242" spans="1:18">
      <c r="A242" t="s">
        <v>1610</v>
      </c>
      <c r="B242">
        <v>347</v>
      </c>
      <c r="D242" t="s">
        <v>1912</v>
      </c>
      <c r="E242" s="16">
        <v>8050846006508</v>
      </c>
      <c r="F242">
        <v>3</v>
      </c>
      <c r="H242">
        <v>1</v>
      </c>
      <c r="I242">
        <v>15</v>
      </c>
      <c r="J242" t="s">
        <v>325</v>
      </c>
      <c r="Q242" s="17">
        <v>8050846006508</v>
      </c>
      <c r="R242">
        <v>15</v>
      </c>
    </row>
    <row r="243" spans="1:18">
      <c r="A243" t="s">
        <v>26</v>
      </c>
      <c r="B243">
        <v>371</v>
      </c>
      <c r="D243" t="s">
        <v>1913</v>
      </c>
      <c r="E243" s="16">
        <v>8056099177125</v>
      </c>
      <c r="F243">
        <v>1</v>
      </c>
      <c r="H243">
        <v>2</v>
      </c>
      <c r="I243">
        <v>5</v>
      </c>
      <c r="J243" t="s">
        <v>317</v>
      </c>
      <c r="K243" s="17">
        <v>8056099177125</v>
      </c>
      <c r="L243" t="s">
        <v>337</v>
      </c>
      <c r="O243" s="17"/>
      <c r="P243">
        <v>5</v>
      </c>
      <c r="Q243" s="17"/>
    </row>
    <row r="244" spans="1:18">
      <c r="A244" t="s">
        <v>22</v>
      </c>
      <c r="B244">
        <v>17</v>
      </c>
      <c r="D244" t="s">
        <v>1914</v>
      </c>
      <c r="E244" s="16">
        <v>8058983596210</v>
      </c>
      <c r="F244">
        <v>1</v>
      </c>
      <c r="H244">
        <v>1</v>
      </c>
      <c r="I244">
        <v>6</v>
      </c>
      <c r="J244" t="s">
        <v>324</v>
      </c>
      <c r="O244" s="17">
        <v>8058983596210</v>
      </c>
      <c r="P244">
        <v>6</v>
      </c>
      <c r="Q244" s="17"/>
    </row>
    <row r="245" spans="1:18">
      <c r="A245" t="s">
        <v>49</v>
      </c>
      <c r="B245">
        <v>26</v>
      </c>
      <c r="D245" t="s">
        <v>344</v>
      </c>
      <c r="E245" s="16">
        <v>8050846003767</v>
      </c>
      <c r="F245">
        <v>3</v>
      </c>
      <c r="H245">
        <v>1</v>
      </c>
      <c r="I245">
        <v>99</v>
      </c>
      <c r="J245" t="s">
        <v>325</v>
      </c>
      <c r="Q245" s="17">
        <v>8050846003767</v>
      </c>
      <c r="R245">
        <v>99</v>
      </c>
    </row>
    <row r="246" spans="1:18">
      <c r="A246" t="s">
        <v>34</v>
      </c>
      <c r="B246">
        <v>17</v>
      </c>
      <c r="D246" t="s">
        <v>1915</v>
      </c>
      <c r="E246" s="16">
        <v>8056099177958</v>
      </c>
      <c r="F246">
        <v>2</v>
      </c>
      <c r="H246">
        <v>2</v>
      </c>
      <c r="I246">
        <v>7</v>
      </c>
      <c r="J246" t="s">
        <v>317</v>
      </c>
      <c r="K246" s="17">
        <v>8056099177958</v>
      </c>
      <c r="L246" t="s">
        <v>1864</v>
      </c>
      <c r="O246" s="17">
        <v>8056099177958</v>
      </c>
      <c r="P246">
        <v>9</v>
      </c>
      <c r="Q246" s="17"/>
    </row>
    <row r="247" spans="1:18">
      <c r="A247" t="s">
        <v>25</v>
      </c>
      <c r="B247">
        <v>76</v>
      </c>
      <c r="D247" t="s">
        <v>345</v>
      </c>
      <c r="E247" s="16" t="s">
        <v>2212</v>
      </c>
      <c r="F247">
        <v>2</v>
      </c>
      <c r="H247">
        <v>1</v>
      </c>
      <c r="I247">
        <v>11</v>
      </c>
      <c r="J247" t="s">
        <v>325</v>
      </c>
      <c r="Q247" s="17"/>
      <c r="R247">
        <v>11</v>
      </c>
    </row>
    <row r="248" spans="1:18">
      <c r="A248" t="s">
        <v>25</v>
      </c>
      <c r="B248">
        <v>78</v>
      </c>
      <c r="D248" t="s">
        <v>1916</v>
      </c>
      <c r="E248" s="16">
        <v>8056099179785</v>
      </c>
      <c r="F248">
        <v>2</v>
      </c>
      <c r="H248">
        <v>2</v>
      </c>
      <c r="I248">
        <v>6</v>
      </c>
      <c r="J248" t="s">
        <v>317</v>
      </c>
      <c r="K248" s="17">
        <v>8056099179785</v>
      </c>
      <c r="L248" t="s">
        <v>1711</v>
      </c>
      <c r="O248" s="17"/>
      <c r="P248">
        <v>8</v>
      </c>
      <c r="Q248" s="17"/>
    </row>
    <row r="249" spans="1:18">
      <c r="A249" t="s">
        <v>21</v>
      </c>
      <c r="B249">
        <v>422</v>
      </c>
      <c r="D249" t="s">
        <v>1917</v>
      </c>
      <c r="E249" s="16" t="s">
        <v>2212</v>
      </c>
      <c r="F249">
        <v>3</v>
      </c>
      <c r="H249">
        <v>2</v>
      </c>
      <c r="I249">
        <v>4</v>
      </c>
      <c r="J249" t="s">
        <v>316</v>
      </c>
      <c r="M249" s="17" t="s">
        <v>347</v>
      </c>
      <c r="N249" t="s">
        <v>1807</v>
      </c>
      <c r="Q249" s="17">
        <v>8050846006386</v>
      </c>
      <c r="R249">
        <v>4</v>
      </c>
    </row>
    <row r="250" spans="1:18">
      <c r="A250" t="s">
        <v>22</v>
      </c>
      <c r="B250">
        <v>422</v>
      </c>
      <c r="D250" t="s">
        <v>346</v>
      </c>
      <c r="E250" s="16" t="s">
        <v>2212</v>
      </c>
      <c r="F250">
        <v>2</v>
      </c>
      <c r="H250">
        <v>2</v>
      </c>
      <c r="I250">
        <v>8</v>
      </c>
      <c r="J250" t="s">
        <v>316</v>
      </c>
      <c r="M250" s="17" t="s">
        <v>347</v>
      </c>
      <c r="N250" t="s">
        <v>348</v>
      </c>
      <c r="Q250" s="17">
        <v>8050846006713</v>
      </c>
      <c r="R250">
        <v>8</v>
      </c>
    </row>
    <row r="251" spans="1:18">
      <c r="A251" t="s">
        <v>1577</v>
      </c>
      <c r="B251">
        <v>54</v>
      </c>
      <c r="D251" t="s">
        <v>1918</v>
      </c>
      <c r="E251" s="16">
        <v>8050538597932</v>
      </c>
      <c r="F251">
        <v>3</v>
      </c>
      <c r="H251">
        <v>2</v>
      </c>
      <c r="I251">
        <v>36</v>
      </c>
      <c r="J251" t="s">
        <v>317</v>
      </c>
      <c r="K251" s="17">
        <v>8050538597932</v>
      </c>
      <c r="L251" t="s">
        <v>1713</v>
      </c>
      <c r="Q251" s="17"/>
      <c r="R251">
        <v>122</v>
      </c>
    </row>
    <row r="252" spans="1:18">
      <c r="A252" t="s">
        <v>1610</v>
      </c>
      <c r="B252">
        <v>76</v>
      </c>
      <c r="D252" t="s">
        <v>1919</v>
      </c>
      <c r="E252" s="16" t="s">
        <v>2212</v>
      </c>
      <c r="F252">
        <v>3</v>
      </c>
      <c r="H252">
        <v>1</v>
      </c>
      <c r="I252">
        <v>15</v>
      </c>
      <c r="J252" t="s">
        <v>325</v>
      </c>
      <c r="Q252" s="17"/>
      <c r="R252">
        <v>15</v>
      </c>
    </row>
    <row r="253" spans="1:18">
      <c r="A253" t="s">
        <v>34</v>
      </c>
      <c r="B253">
        <v>371</v>
      </c>
      <c r="D253" t="s">
        <v>1920</v>
      </c>
      <c r="E253" s="16">
        <v>8050846011571</v>
      </c>
      <c r="F253">
        <v>2</v>
      </c>
      <c r="H253">
        <v>2</v>
      </c>
      <c r="I253">
        <v>7</v>
      </c>
      <c r="J253" t="s">
        <v>317</v>
      </c>
      <c r="K253" s="17">
        <v>8050846011571</v>
      </c>
      <c r="L253" t="s">
        <v>1864</v>
      </c>
      <c r="O253" s="17"/>
      <c r="P253">
        <v>9</v>
      </c>
      <c r="Q253" s="17"/>
    </row>
    <row r="254" spans="1:18">
      <c r="A254" t="s">
        <v>34</v>
      </c>
      <c r="B254">
        <v>347</v>
      </c>
      <c r="D254" t="s">
        <v>349</v>
      </c>
      <c r="E254" s="16">
        <v>8050846006843</v>
      </c>
      <c r="F254">
        <v>2</v>
      </c>
      <c r="H254">
        <v>1</v>
      </c>
      <c r="I254">
        <v>13</v>
      </c>
      <c r="J254" t="s">
        <v>325</v>
      </c>
      <c r="Q254" s="17">
        <v>8050846006843</v>
      </c>
      <c r="R254">
        <v>13</v>
      </c>
    </row>
    <row r="255" spans="1:18">
      <c r="A255" t="s">
        <v>1579</v>
      </c>
      <c r="B255">
        <v>78</v>
      </c>
      <c r="D255" t="s">
        <v>1921</v>
      </c>
      <c r="E255" s="16">
        <v>8050846007260</v>
      </c>
      <c r="F255">
        <v>2</v>
      </c>
      <c r="H255">
        <v>2</v>
      </c>
      <c r="I255">
        <v>8</v>
      </c>
      <c r="J255" t="s">
        <v>317</v>
      </c>
      <c r="K255" s="17">
        <v>8050846007260</v>
      </c>
      <c r="L255" t="s">
        <v>348</v>
      </c>
      <c r="Q255" s="17"/>
      <c r="R255">
        <v>14</v>
      </c>
    </row>
    <row r="256" spans="1:18">
      <c r="A256" t="s">
        <v>21</v>
      </c>
      <c r="B256">
        <v>485</v>
      </c>
      <c r="D256" t="s">
        <v>1922</v>
      </c>
      <c r="E256" s="16">
        <v>8050846006447</v>
      </c>
      <c r="F256">
        <v>3</v>
      </c>
      <c r="H256">
        <v>1</v>
      </c>
      <c r="I256">
        <v>4</v>
      </c>
      <c r="J256" t="s">
        <v>325</v>
      </c>
      <c r="Q256" s="17">
        <v>8050846006447</v>
      </c>
      <c r="R256">
        <v>4</v>
      </c>
    </row>
    <row r="257" spans="1:18">
      <c r="A257" t="s">
        <v>27</v>
      </c>
      <c r="B257">
        <v>55</v>
      </c>
      <c r="D257" t="s">
        <v>1923</v>
      </c>
      <c r="E257" s="16">
        <v>8050846008137</v>
      </c>
      <c r="F257">
        <v>6</v>
      </c>
      <c r="H257">
        <v>1</v>
      </c>
      <c r="I257">
        <v>198</v>
      </c>
      <c r="J257" t="s">
        <v>325</v>
      </c>
      <c r="Q257" s="17">
        <v>8050846008137</v>
      </c>
      <c r="R257">
        <v>198</v>
      </c>
    </row>
    <row r="258" spans="1:18">
      <c r="A258" t="s">
        <v>27</v>
      </c>
      <c r="B258">
        <v>59</v>
      </c>
      <c r="D258" t="s">
        <v>1924</v>
      </c>
      <c r="E258" s="16">
        <v>8050846008175</v>
      </c>
      <c r="F258">
        <v>6</v>
      </c>
      <c r="H258">
        <v>1</v>
      </c>
      <c r="I258">
        <v>198</v>
      </c>
      <c r="J258" t="s">
        <v>325</v>
      </c>
      <c r="Q258" s="17">
        <v>8050846008175</v>
      </c>
      <c r="R258">
        <v>198</v>
      </c>
    </row>
    <row r="259" spans="1:18">
      <c r="A259" t="s">
        <v>35</v>
      </c>
      <c r="B259">
        <v>8</v>
      </c>
      <c r="D259" t="s">
        <v>1925</v>
      </c>
      <c r="E259" s="16" t="s">
        <v>2211</v>
      </c>
      <c r="F259">
        <v>6</v>
      </c>
      <c r="H259">
        <v>0</v>
      </c>
      <c r="Q259" s="17"/>
    </row>
    <row r="260" spans="1:18">
      <c r="A260" t="s">
        <v>35</v>
      </c>
      <c r="B260">
        <v>60</v>
      </c>
      <c r="D260" t="s">
        <v>1926</v>
      </c>
      <c r="E260" s="16" t="s">
        <v>2211</v>
      </c>
      <c r="F260">
        <v>6</v>
      </c>
      <c r="H260">
        <v>0</v>
      </c>
      <c r="Q260" s="17"/>
    </row>
    <row r="261" spans="1:18">
      <c r="A261" t="s">
        <v>90</v>
      </c>
      <c r="B261">
        <v>36</v>
      </c>
      <c r="D261" t="s">
        <v>1927</v>
      </c>
      <c r="E261" s="16">
        <v>8050846005112</v>
      </c>
      <c r="F261">
        <v>2</v>
      </c>
      <c r="H261">
        <v>1</v>
      </c>
      <c r="I261">
        <v>120</v>
      </c>
      <c r="J261" t="s">
        <v>325</v>
      </c>
      <c r="Q261" s="17">
        <v>8050846005112</v>
      </c>
      <c r="R261">
        <v>120</v>
      </c>
    </row>
    <row r="262" spans="1:18">
      <c r="A262" t="s">
        <v>91</v>
      </c>
      <c r="B262">
        <v>55</v>
      </c>
      <c r="D262" t="s">
        <v>1928</v>
      </c>
      <c r="E262" s="16">
        <v>8050846002494</v>
      </c>
      <c r="F262">
        <v>2</v>
      </c>
      <c r="H262">
        <v>1</v>
      </c>
      <c r="I262">
        <v>132</v>
      </c>
      <c r="J262" t="s">
        <v>325</v>
      </c>
      <c r="Q262" s="17">
        <v>8050846002494</v>
      </c>
      <c r="R262">
        <v>132</v>
      </c>
    </row>
    <row r="263" spans="1:18">
      <c r="A263" t="s">
        <v>5</v>
      </c>
      <c r="B263">
        <v>76</v>
      </c>
      <c r="D263" t="s">
        <v>1929</v>
      </c>
      <c r="E263" s="16">
        <v>8050846002159</v>
      </c>
      <c r="F263">
        <v>2</v>
      </c>
      <c r="H263">
        <v>1</v>
      </c>
      <c r="I263">
        <v>108</v>
      </c>
      <c r="J263" t="s">
        <v>325</v>
      </c>
      <c r="Q263" s="17">
        <v>8050846002159</v>
      </c>
      <c r="R263">
        <v>108</v>
      </c>
    </row>
    <row r="264" spans="1:18">
      <c r="A264" t="s">
        <v>92</v>
      </c>
      <c r="B264">
        <v>241</v>
      </c>
      <c r="D264" t="s">
        <v>1930</v>
      </c>
      <c r="E264" s="16">
        <v>8050846004757</v>
      </c>
      <c r="F264">
        <v>4</v>
      </c>
      <c r="H264">
        <v>1</v>
      </c>
      <c r="I264">
        <v>52</v>
      </c>
      <c r="J264" t="s">
        <v>325</v>
      </c>
      <c r="Q264" s="17">
        <v>8050846004757</v>
      </c>
      <c r="R264">
        <v>52</v>
      </c>
    </row>
    <row r="265" spans="1:18">
      <c r="A265" t="s">
        <v>68</v>
      </c>
      <c r="B265">
        <v>76</v>
      </c>
      <c r="D265" t="s">
        <v>1931</v>
      </c>
      <c r="E265" s="16">
        <v>8050846002111</v>
      </c>
      <c r="F265">
        <v>2</v>
      </c>
      <c r="H265">
        <v>1</v>
      </c>
      <c r="I265">
        <v>100</v>
      </c>
      <c r="J265" t="s">
        <v>325</v>
      </c>
      <c r="Q265" s="17">
        <v>8050846002111</v>
      </c>
      <c r="R265">
        <v>100</v>
      </c>
    </row>
    <row r="266" spans="1:18">
      <c r="A266" t="s">
        <v>1655</v>
      </c>
      <c r="B266">
        <v>76</v>
      </c>
      <c r="D266" t="s">
        <v>1932</v>
      </c>
      <c r="E266" s="16" t="s">
        <v>2212</v>
      </c>
      <c r="F266">
        <v>2</v>
      </c>
      <c r="H266">
        <v>1</v>
      </c>
      <c r="I266">
        <v>93</v>
      </c>
      <c r="J266" t="s">
        <v>325</v>
      </c>
      <c r="Q266" s="17"/>
      <c r="R266">
        <v>93</v>
      </c>
    </row>
    <row r="267" spans="1:18">
      <c r="A267" t="s">
        <v>15</v>
      </c>
      <c r="B267">
        <v>76</v>
      </c>
      <c r="D267" t="s">
        <v>1933</v>
      </c>
      <c r="E267" s="16">
        <v>8050846002227</v>
      </c>
      <c r="F267">
        <v>2</v>
      </c>
      <c r="H267">
        <v>1</v>
      </c>
      <c r="I267">
        <v>106</v>
      </c>
      <c r="J267" t="s">
        <v>325</v>
      </c>
      <c r="Q267" s="17">
        <v>8050846002227</v>
      </c>
      <c r="R267">
        <v>106</v>
      </c>
    </row>
    <row r="268" spans="1:18">
      <c r="A268" t="s">
        <v>1660</v>
      </c>
      <c r="B268">
        <v>475</v>
      </c>
      <c r="D268" t="s">
        <v>1934</v>
      </c>
      <c r="E268" s="16">
        <v>8050846004160</v>
      </c>
      <c r="F268">
        <v>3</v>
      </c>
      <c r="H268">
        <v>1</v>
      </c>
      <c r="I268">
        <v>121</v>
      </c>
      <c r="J268" t="s">
        <v>325</v>
      </c>
      <c r="K268" s="17"/>
      <c r="O268" s="17"/>
      <c r="Q268" s="17">
        <v>8050846004160</v>
      </c>
      <c r="R268">
        <v>121</v>
      </c>
    </row>
    <row r="269" spans="1:18">
      <c r="A269" t="s">
        <v>93</v>
      </c>
      <c r="B269">
        <v>254</v>
      </c>
      <c r="D269" t="s">
        <v>1935</v>
      </c>
      <c r="E269" s="16" t="s">
        <v>2212</v>
      </c>
      <c r="F269">
        <v>2</v>
      </c>
      <c r="H269">
        <v>1</v>
      </c>
      <c r="I269">
        <v>78</v>
      </c>
      <c r="J269" t="s">
        <v>325</v>
      </c>
      <c r="O269" s="17"/>
      <c r="Q269" s="17"/>
      <c r="R269">
        <v>78</v>
      </c>
    </row>
    <row r="270" spans="1:18">
      <c r="A270" t="s">
        <v>1664</v>
      </c>
      <c r="B270">
        <v>473</v>
      </c>
      <c r="D270" t="s">
        <v>1936</v>
      </c>
      <c r="E270" s="16">
        <v>8050846004108</v>
      </c>
      <c r="F270">
        <v>2</v>
      </c>
      <c r="H270">
        <v>1</v>
      </c>
      <c r="I270">
        <v>133</v>
      </c>
      <c r="J270" t="s">
        <v>325</v>
      </c>
      <c r="O270" s="17"/>
      <c r="Q270" s="17">
        <v>8050846004108</v>
      </c>
      <c r="R270">
        <v>133</v>
      </c>
    </row>
    <row r="271" spans="1:18">
      <c r="A271" t="s">
        <v>94</v>
      </c>
      <c r="B271">
        <v>17</v>
      </c>
      <c r="D271" t="s">
        <v>1937</v>
      </c>
      <c r="E271" s="16">
        <v>8050846004139</v>
      </c>
      <c r="F271">
        <v>2</v>
      </c>
      <c r="H271">
        <v>1</v>
      </c>
      <c r="I271">
        <v>134</v>
      </c>
      <c r="J271" t="s">
        <v>325</v>
      </c>
      <c r="O271" s="17"/>
      <c r="Q271" s="17">
        <v>8050846004139</v>
      </c>
      <c r="R271">
        <v>134</v>
      </c>
    </row>
    <row r="272" spans="1:18">
      <c r="A272" t="s">
        <v>79</v>
      </c>
      <c r="B272">
        <v>76</v>
      </c>
      <c r="D272" t="s">
        <v>1938</v>
      </c>
      <c r="E272" s="16">
        <v>8050846003040</v>
      </c>
      <c r="F272">
        <v>3</v>
      </c>
      <c r="H272">
        <v>1</v>
      </c>
      <c r="I272">
        <v>48</v>
      </c>
      <c r="J272" t="s">
        <v>325</v>
      </c>
      <c r="K272" s="17"/>
      <c r="O272" s="17"/>
      <c r="Q272" s="17">
        <v>8050846003040</v>
      </c>
      <c r="R272">
        <v>48</v>
      </c>
    </row>
    <row r="273" spans="1:18">
      <c r="A273" t="s">
        <v>95</v>
      </c>
      <c r="B273">
        <v>254</v>
      </c>
      <c r="D273" t="s">
        <v>1939</v>
      </c>
      <c r="E273" s="16" t="s">
        <v>2212</v>
      </c>
      <c r="F273">
        <v>3</v>
      </c>
      <c r="H273">
        <v>1</v>
      </c>
      <c r="I273">
        <v>95</v>
      </c>
      <c r="J273" t="s">
        <v>325</v>
      </c>
      <c r="Q273" s="17"/>
      <c r="R273">
        <v>95</v>
      </c>
    </row>
    <row r="274" spans="1:18">
      <c r="A274" t="s">
        <v>1600</v>
      </c>
      <c r="B274">
        <v>26</v>
      </c>
      <c r="D274" t="s">
        <v>1940</v>
      </c>
      <c r="E274" s="16">
        <v>8050846007376</v>
      </c>
      <c r="F274">
        <v>3</v>
      </c>
      <c r="H274">
        <v>1</v>
      </c>
      <c r="I274">
        <v>240</v>
      </c>
      <c r="J274" t="s">
        <v>325</v>
      </c>
      <c r="M274" s="17"/>
      <c r="Q274" s="17">
        <v>8050846007376</v>
      </c>
      <c r="R274">
        <v>240</v>
      </c>
    </row>
    <row r="275" spans="1:18">
      <c r="A275" t="s">
        <v>96</v>
      </c>
      <c r="B275">
        <v>215</v>
      </c>
      <c r="D275" t="s">
        <v>1941</v>
      </c>
      <c r="E275" s="16">
        <v>8050846005372</v>
      </c>
      <c r="F275">
        <v>3</v>
      </c>
      <c r="H275">
        <v>1</v>
      </c>
      <c r="I275">
        <v>35</v>
      </c>
      <c r="J275" t="s">
        <v>325</v>
      </c>
      <c r="Q275" s="17">
        <v>8050846005372</v>
      </c>
      <c r="R275">
        <v>35</v>
      </c>
    </row>
    <row r="276" spans="1:18">
      <c r="A276" t="s">
        <v>96</v>
      </c>
      <c r="B276">
        <v>479</v>
      </c>
      <c r="D276" t="s">
        <v>1942</v>
      </c>
      <c r="E276" s="16">
        <v>8050846005389</v>
      </c>
      <c r="F276">
        <v>3</v>
      </c>
      <c r="H276">
        <v>1</v>
      </c>
      <c r="I276">
        <v>35</v>
      </c>
      <c r="J276" t="s">
        <v>325</v>
      </c>
      <c r="Q276" s="17">
        <v>8050846005389</v>
      </c>
      <c r="R276">
        <v>35</v>
      </c>
    </row>
    <row r="277" spans="1:18">
      <c r="A277" t="s">
        <v>97</v>
      </c>
      <c r="B277">
        <v>61</v>
      </c>
      <c r="D277" t="s">
        <v>1943</v>
      </c>
      <c r="E277" s="16" t="s">
        <v>2212</v>
      </c>
      <c r="F277">
        <v>2</v>
      </c>
      <c r="H277">
        <v>1</v>
      </c>
      <c r="I277">
        <v>78</v>
      </c>
      <c r="J277" t="s">
        <v>325</v>
      </c>
      <c r="Q277" s="17"/>
      <c r="R277">
        <v>78</v>
      </c>
    </row>
    <row r="278" spans="1:18">
      <c r="A278" t="s">
        <v>98</v>
      </c>
      <c r="B278">
        <v>61</v>
      </c>
      <c r="D278" t="s">
        <v>1944</v>
      </c>
      <c r="E278" s="16">
        <v>8050846004924</v>
      </c>
      <c r="F278">
        <v>2</v>
      </c>
      <c r="H278">
        <v>1</v>
      </c>
      <c r="I278">
        <v>83</v>
      </c>
      <c r="J278" t="s">
        <v>325</v>
      </c>
      <c r="Q278" s="17">
        <v>8050846004924</v>
      </c>
      <c r="R278">
        <v>83</v>
      </c>
    </row>
    <row r="279" spans="1:18">
      <c r="A279" t="s">
        <v>99</v>
      </c>
      <c r="B279">
        <v>227</v>
      </c>
      <c r="D279" t="s">
        <v>1945</v>
      </c>
      <c r="E279" s="16" t="s">
        <v>2212</v>
      </c>
      <c r="F279">
        <v>2</v>
      </c>
      <c r="H279">
        <v>1</v>
      </c>
      <c r="I279">
        <v>81</v>
      </c>
      <c r="J279" t="s">
        <v>325</v>
      </c>
      <c r="Q279" s="17"/>
      <c r="R279">
        <v>81</v>
      </c>
    </row>
    <row r="280" spans="1:18">
      <c r="A280" t="s">
        <v>38</v>
      </c>
      <c r="B280">
        <v>481</v>
      </c>
      <c r="D280" t="s">
        <v>1946</v>
      </c>
      <c r="E280" s="16" t="s">
        <v>2212</v>
      </c>
      <c r="F280">
        <v>2</v>
      </c>
      <c r="H280">
        <v>1</v>
      </c>
      <c r="I280">
        <v>95</v>
      </c>
      <c r="J280" t="s">
        <v>325</v>
      </c>
      <c r="Q280" s="17"/>
      <c r="R280">
        <v>95</v>
      </c>
    </row>
    <row r="281" spans="1:18">
      <c r="A281" t="s">
        <v>24</v>
      </c>
      <c r="B281">
        <v>26</v>
      </c>
      <c r="D281" t="s">
        <v>1947</v>
      </c>
      <c r="E281" s="16">
        <v>8050846006942</v>
      </c>
      <c r="F281">
        <v>3</v>
      </c>
      <c r="H281">
        <v>1</v>
      </c>
      <c r="I281">
        <v>16</v>
      </c>
      <c r="J281" t="s">
        <v>325</v>
      </c>
      <c r="Q281" s="17">
        <v>8050846006942</v>
      </c>
      <c r="R281">
        <v>16</v>
      </c>
    </row>
    <row r="282" spans="1:18">
      <c r="A282" t="s">
        <v>19</v>
      </c>
      <c r="B282">
        <v>76</v>
      </c>
      <c r="D282" t="s">
        <v>1948</v>
      </c>
      <c r="E282" s="16" t="s">
        <v>2212</v>
      </c>
      <c r="F282">
        <v>3</v>
      </c>
      <c r="H282">
        <v>1</v>
      </c>
      <c r="I282">
        <v>160</v>
      </c>
      <c r="J282" t="s">
        <v>325</v>
      </c>
      <c r="Q282" s="17"/>
      <c r="R282">
        <v>160</v>
      </c>
    </row>
    <row r="283" spans="1:18">
      <c r="A283" t="s">
        <v>100</v>
      </c>
      <c r="B283">
        <v>55</v>
      </c>
      <c r="D283" t="s">
        <v>1949</v>
      </c>
      <c r="E283" s="16">
        <v>8050846002814</v>
      </c>
      <c r="F283">
        <v>3</v>
      </c>
      <c r="H283">
        <v>1</v>
      </c>
      <c r="I283">
        <v>5</v>
      </c>
      <c r="J283" t="s">
        <v>325</v>
      </c>
      <c r="Q283" s="17">
        <v>8050846002814</v>
      </c>
      <c r="R283">
        <v>5</v>
      </c>
    </row>
    <row r="284" spans="1:18">
      <c r="A284" t="s">
        <v>1621</v>
      </c>
      <c r="B284">
        <v>55</v>
      </c>
      <c r="D284" t="s">
        <v>1950</v>
      </c>
      <c r="E284" s="16">
        <v>8050846001954</v>
      </c>
      <c r="F284">
        <v>2</v>
      </c>
      <c r="H284">
        <v>1</v>
      </c>
      <c r="I284">
        <v>123</v>
      </c>
      <c r="J284" t="s">
        <v>325</v>
      </c>
      <c r="Q284" s="17">
        <v>8050846001954</v>
      </c>
      <c r="R284">
        <v>123</v>
      </c>
    </row>
    <row r="285" spans="1:18">
      <c r="A285" t="s">
        <v>1668</v>
      </c>
      <c r="B285">
        <v>36</v>
      </c>
      <c r="D285" t="s">
        <v>1951</v>
      </c>
      <c r="E285" s="16">
        <v>8050846001978</v>
      </c>
      <c r="F285">
        <v>2</v>
      </c>
      <c r="H285">
        <v>1</v>
      </c>
      <c r="I285">
        <v>124</v>
      </c>
      <c r="J285" t="s">
        <v>325</v>
      </c>
      <c r="Q285" s="17">
        <v>8050846001978</v>
      </c>
      <c r="R285">
        <v>124</v>
      </c>
    </row>
    <row r="286" spans="1:18">
      <c r="A286" t="s">
        <v>81</v>
      </c>
      <c r="B286">
        <v>408</v>
      </c>
      <c r="D286" t="s">
        <v>1897</v>
      </c>
      <c r="E286" s="16">
        <v>8050846003859</v>
      </c>
      <c r="F286">
        <v>2</v>
      </c>
      <c r="H286">
        <v>1</v>
      </c>
      <c r="I286">
        <v>103</v>
      </c>
      <c r="J286" t="s">
        <v>325</v>
      </c>
      <c r="Q286" s="17">
        <v>8050846003859</v>
      </c>
      <c r="R286">
        <v>103</v>
      </c>
    </row>
    <row r="287" spans="1:18">
      <c r="A287" t="s">
        <v>101</v>
      </c>
      <c r="B287">
        <v>55</v>
      </c>
      <c r="D287" t="s">
        <v>1952</v>
      </c>
      <c r="E287" s="16">
        <v>8050846002104</v>
      </c>
      <c r="F287">
        <v>2</v>
      </c>
      <c r="H287">
        <v>1</v>
      </c>
      <c r="I287">
        <v>100</v>
      </c>
      <c r="J287" t="s">
        <v>325</v>
      </c>
      <c r="Q287" s="17">
        <v>8050846002104</v>
      </c>
      <c r="R287">
        <v>100</v>
      </c>
    </row>
    <row r="288" spans="1:18">
      <c r="A288" t="s">
        <v>51</v>
      </c>
      <c r="B288">
        <v>17</v>
      </c>
      <c r="D288" t="s">
        <v>1953</v>
      </c>
      <c r="E288" s="16" t="s">
        <v>2212</v>
      </c>
      <c r="F288">
        <v>8</v>
      </c>
      <c r="H288">
        <v>1</v>
      </c>
      <c r="I288">
        <v>36</v>
      </c>
      <c r="J288" t="s">
        <v>325</v>
      </c>
      <c r="Q288" s="17"/>
      <c r="R288">
        <v>36</v>
      </c>
    </row>
    <row r="289" spans="1:18">
      <c r="A289" t="s">
        <v>51</v>
      </c>
      <c r="B289">
        <v>17</v>
      </c>
      <c r="D289" t="s">
        <v>1953</v>
      </c>
      <c r="E289" s="16" t="s">
        <v>2212</v>
      </c>
      <c r="F289">
        <v>6</v>
      </c>
      <c r="H289">
        <v>1</v>
      </c>
      <c r="I289">
        <v>36</v>
      </c>
      <c r="J289" t="s">
        <v>325</v>
      </c>
      <c r="Q289" s="17"/>
      <c r="R289">
        <v>36</v>
      </c>
    </row>
    <row r="290" spans="1:18">
      <c r="A290" t="s">
        <v>51</v>
      </c>
      <c r="B290">
        <v>422</v>
      </c>
      <c r="D290" t="s">
        <v>1954</v>
      </c>
      <c r="E290" s="16">
        <v>8050846002609</v>
      </c>
      <c r="F290">
        <v>6</v>
      </c>
      <c r="H290">
        <v>1</v>
      </c>
      <c r="I290">
        <v>36</v>
      </c>
      <c r="J290" t="s">
        <v>325</v>
      </c>
      <c r="Q290" s="17">
        <v>8050846002609</v>
      </c>
      <c r="R290">
        <v>36</v>
      </c>
    </row>
    <row r="291" spans="1:18">
      <c r="A291" t="s">
        <v>1651</v>
      </c>
      <c r="B291">
        <v>76</v>
      </c>
      <c r="D291" t="s">
        <v>1955</v>
      </c>
      <c r="E291" s="16">
        <v>8050846002708</v>
      </c>
      <c r="F291">
        <v>3</v>
      </c>
      <c r="H291">
        <v>1</v>
      </c>
      <c r="I291">
        <v>149</v>
      </c>
      <c r="J291" t="s">
        <v>325</v>
      </c>
      <c r="Q291" s="17">
        <v>8050846002708</v>
      </c>
      <c r="R291">
        <v>149</v>
      </c>
    </row>
    <row r="292" spans="1:18">
      <c r="A292" t="s">
        <v>31</v>
      </c>
      <c r="B292">
        <v>347</v>
      </c>
      <c r="D292" t="s">
        <v>1956</v>
      </c>
      <c r="E292" s="16">
        <v>8050846002241</v>
      </c>
      <c r="F292">
        <v>2</v>
      </c>
      <c r="H292">
        <v>1</v>
      </c>
      <c r="I292">
        <v>114</v>
      </c>
      <c r="J292" t="s">
        <v>325</v>
      </c>
      <c r="Q292" s="17">
        <v>8050846002241</v>
      </c>
      <c r="R292">
        <v>114</v>
      </c>
    </row>
    <row r="293" spans="1:18">
      <c r="A293" t="s">
        <v>76</v>
      </c>
      <c r="B293">
        <v>55</v>
      </c>
      <c r="D293" t="s">
        <v>1957</v>
      </c>
      <c r="E293" s="16">
        <v>8050846002357</v>
      </c>
      <c r="F293">
        <v>2</v>
      </c>
      <c r="H293">
        <v>1</v>
      </c>
      <c r="I293">
        <v>118</v>
      </c>
      <c r="J293" t="s">
        <v>325</v>
      </c>
      <c r="Q293" s="17">
        <v>8050846002357</v>
      </c>
      <c r="R293">
        <v>118</v>
      </c>
    </row>
    <row r="294" spans="1:18">
      <c r="A294" t="s">
        <v>6</v>
      </c>
      <c r="B294">
        <v>8</v>
      </c>
      <c r="D294" t="s">
        <v>1958</v>
      </c>
      <c r="E294" s="16">
        <v>8050846002463</v>
      </c>
      <c r="F294">
        <v>2</v>
      </c>
      <c r="H294">
        <v>1</v>
      </c>
      <c r="I294">
        <v>131</v>
      </c>
      <c r="J294" t="s">
        <v>325</v>
      </c>
      <c r="Q294" s="17">
        <v>8050846002463</v>
      </c>
      <c r="R294">
        <v>131</v>
      </c>
    </row>
    <row r="295" spans="1:18">
      <c r="A295" t="s">
        <v>7</v>
      </c>
      <c r="B295">
        <v>36</v>
      </c>
      <c r="D295" t="s">
        <v>1959</v>
      </c>
      <c r="E295" s="16">
        <v>8050846003187</v>
      </c>
      <c r="F295">
        <v>4</v>
      </c>
      <c r="H295">
        <v>1</v>
      </c>
      <c r="I295">
        <v>53</v>
      </c>
      <c r="J295" t="s">
        <v>325</v>
      </c>
      <c r="Q295" s="17">
        <v>8050846003187</v>
      </c>
      <c r="R295">
        <v>53</v>
      </c>
    </row>
    <row r="296" spans="1:18">
      <c r="A296" t="s">
        <v>55</v>
      </c>
      <c r="B296">
        <v>76</v>
      </c>
      <c r="D296" t="s">
        <v>1960</v>
      </c>
      <c r="E296" s="16">
        <v>8050846007741</v>
      </c>
      <c r="F296">
        <v>3</v>
      </c>
      <c r="H296">
        <v>1</v>
      </c>
      <c r="I296">
        <v>166</v>
      </c>
      <c r="J296" t="s">
        <v>325</v>
      </c>
      <c r="Q296" s="17">
        <v>8050846007741</v>
      </c>
      <c r="R296">
        <v>166</v>
      </c>
    </row>
    <row r="297" spans="1:18">
      <c r="A297" t="s">
        <v>55</v>
      </c>
      <c r="B297">
        <v>347</v>
      </c>
      <c r="D297" t="s">
        <v>1961</v>
      </c>
      <c r="E297" s="16">
        <v>8050846007734</v>
      </c>
      <c r="F297">
        <v>3</v>
      </c>
      <c r="H297">
        <v>1</v>
      </c>
      <c r="I297">
        <v>166</v>
      </c>
      <c r="J297" t="s">
        <v>325</v>
      </c>
      <c r="Q297" s="17">
        <v>8050846007734</v>
      </c>
      <c r="R297">
        <v>166</v>
      </c>
    </row>
    <row r="298" spans="1:18">
      <c r="A298" t="s">
        <v>102</v>
      </c>
      <c r="B298">
        <v>487</v>
      </c>
      <c r="D298" t="s">
        <v>1962</v>
      </c>
      <c r="E298" s="16">
        <v>8050846007857</v>
      </c>
      <c r="F298">
        <v>3</v>
      </c>
      <c r="H298">
        <v>1</v>
      </c>
      <c r="I298">
        <v>184</v>
      </c>
      <c r="J298" t="s">
        <v>325</v>
      </c>
      <c r="O298" s="17"/>
      <c r="Q298" s="17">
        <v>8050846007857</v>
      </c>
      <c r="R298">
        <v>184</v>
      </c>
    </row>
    <row r="299" spans="1:18">
      <c r="A299" t="s">
        <v>2</v>
      </c>
      <c r="B299">
        <v>26</v>
      </c>
      <c r="D299" t="s">
        <v>1963</v>
      </c>
      <c r="E299" s="16">
        <v>8050846006324</v>
      </c>
      <c r="F299">
        <v>3</v>
      </c>
      <c r="H299">
        <v>1</v>
      </c>
      <c r="I299">
        <v>17</v>
      </c>
      <c r="J299" t="s">
        <v>325</v>
      </c>
      <c r="M299" s="17"/>
      <c r="Q299" s="17">
        <v>8050846006324</v>
      </c>
      <c r="R299">
        <v>17</v>
      </c>
    </row>
    <row r="300" spans="1:18">
      <c r="A300" t="s">
        <v>58</v>
      </c>
      <c r="B300">
        <v>17</v>
      </c>
      <c r="D300" t="s">
        <v>1964</v>
      </c>
      <c r="E300" s="16" t="s">
        <v>2212</v>
      </c>
      <c r="F300">
        <v>2</v>
      </c>
      <c r="H300">
        <v>1</v>
      </c>
      <c r="I300">
        <v>94</v>
      </c>
      <c r="J300" t="s">
        <v>325</v>
      </c>
      <c r="O300" s="17"/>
      <c r="Q300" s="17"/>
      <c r="R300">
        <v>94</v>
      </c>
    </row>
    <row r="301" spans="1:18">
      <c r="A301" t="s">
        <v>15</v>
      </c>
      <c r="B301">
        <v>130</v>
      </c>
      <c r="D301" t="s">
        <v>1965</v>
      </c>
      <c r="E301" s="16">
        <v>8050846005037</v>
      </c>
      <c r="F301">
        <v>2</v>
      </c>
      <c r="H301">
        <v>1</v>
      </c>
      <c r="I301">
        <v>106</v>
      </c>
      <c r="J301" t="s">
        <v>325</v>
      </c>
      <c r="Q301" s="17">
        <v>8050846005037</v>
      </c>
      <c r="R301">
        <v>106</v>
      </c>
    </row>
    <row r="302" spans="1:18">
      <c r="A302" t="s">
        <v>1669</v>
      </c>
      <c r="B302">
        <v>478</v>
      </c>
      <c r="D302" t="s">
        <v>1966</v>
      </c>
      <c r="E302" s="16">
        <v>8050846004351</v>
      </c>
      <c r="F302">
        <v>4</v>
      </c>
      <c r="H302">
        <v>1</v>
      </c>
      <c r="I302">
        <v>71</v>
      </c>
      <c r="J302" t="s">
        <v>325</v>
      </c>
      <c r="O302" s="17"/>
      <c r="Q302" s="17">
        <v>8050846004351</v>
      </c>
      <c r="R302">
        <v>71</v>
      </c>
    </row>
    <row r="303" spans="1:18">
      <c r="A303" t="s">
        <v>88</v>
      </c>
      <c r="B303">
        <v>371</v>
      </c>
      <c r="D303" t="s">
        <v>1967</v>
      </c>
      <c r="E303" s="16" t="s">
        <v>2211</v>
      </c>
      <c r="F303">
        <v>2</v>
      </c>
      <c r="H303">
        <v>0</v>
      </c>
      <c r="Q303" s="17"/>
    </row>
    <row r="304" spans="1:18">
      <c r="A304" t="s">
        <v>103</v>
      </c>
      <c r="B304">
        <v>479</v>
      </c>
      <c r="D304" t="s">
        <v>329</v>
      </c>
      <c r="E304" s="16">
        <v>8050846005525</v>
      </c>
      <c r="F304">
        <v>2</v>
      </c>
      <c r="H304">
        <v>1</v>
      </c>
      <c r="I304">
        <v>153</v>
      </c>
      <c r="J304" t="s">
        <v>325</v>
      </c>
      <c r="Q304" s="17">
        <v>8050846005525</v>
      </c>
      <c r="R304">
        <v>153</v>
      </c>
    </row>
    <row r="305" spans="1:18">
      <c r="A305" t="s">
        <v>104</v>
      </c>
      <c r="B305">
        <v>61</v>
      </c>
      <c r="D305" t="s">
        <v>1968</v>
      </c>
      <c r="E305" s="16">
        <v>8050846004832</v>
      </c>
      <c r="F305">
        <v>2</v>
      </c>
      <c r="H305">
        <v>1</v>
      </c>
      <c r="I305">
        <v>141</v>
      </c>
      <c r="J305" t="s">
        <v>325</v>
      </c>
      <c r="K305" s="17"/>
      <c r="O305" s="17"/>
      <c r="Q305" s="17">
        <v>8050846004832</v>
      </c>
      <c r="R305">
        <v>141</v>
      </c>
    </row>
    <row r="306" spans="1:18">
      <c r="A306" t="s">
        <v>73</v>
      </c>
      <c r="B306">
        <v>215</v>
      </c>
      <c r="D306" t="s">
        <v>1969</v>
      </c>
      <c r="E306" s="16">
        <v>8050846005556</v>
      </c>
      <c r="F306">
        <v>3</v>
      </c>
      <c r="H306">
        <v>1</v>
      </c>
      <c r="I306">
        <v>49</v>
      </c>
      <c r="J306" t="s">
        <v>325</v>
      </c>
      <c r="Q306" s="17">
        <v>8050846005556</v>
      </c>
      <c r="R306">
        <v>49</v>
      </c>
    </row>
    <row r="307" spans="1:18">
      <c r="A307" t="s">
        <v>18</v>
      </c>
      <c r="B307">
        <v>479</v>
      </c>
      <c r="D307" t="s">
        <v>1970</v>
      </c>
      <c r="E307" s="16">
        <v>8050846004603</v>
      </c>
      <c r="F307">
        <v>2</v>
      </c>
      <c r="H307">
        <v>1</v>
      </c>
      <c r="I307">
        <v>142</v>
      </c>
      <c r="J307" t="s">
        <v>325</v>
      </c>
      <c r="Q307" s="17">
        <v>8050846004603</v>
      </c>
      <c r="R307">
        <v>142</v>
      </c>
    </row>
    <row r="308" spans="1:18">
      <c r="A308" t="s">
        <v>22</v>
      </c>
      <c r="B308">
        <v>71</v>
      </c>
      <c r="D308" t="s">
        <v>335</v>
      </c>
      <c r="E308" s="16" t="s">
        <v>2212</v>
      </c>
      <c r="F308">
        <v>1</v>
      </c>
      <c r="H308">
        <v>1</v>
      </c>
      <c r="I308">
        <v>6</v>
      </c>
      <c r="J308" t="s">
        <v>324</v>
      </c>
      <c r="O308" s="17"/>
      <c r="P308">
        <v>6</v>
      </c>
    </row>
    <row r="309" spans="1:18">
      <c r="A309" t="s">
        <v>23</v>
      </c>
      <c r="B309">
        <v>55</v>
      </c>
      <c r="D309" t="s">
        <v>1971</v>
      </c>
      <c r="E309" s="16" t="s">
        <v>2212</v>
      </c>
      <c r="F309">
        <v>1</v>
      </c>
      <c r="H309">
        <v>1</v>
      </c>
      <c r="I309">
        <v>7</v>
      </c>
      <c r="J309" t="s">
        <v>324</v>
      </c>
      <c r="O309" s="17"/>
      <c r="P309">
        <v>7</v>
      </c>
      <c r="Q309" s="17"/>
    </row>
    <row r="310" spans="1:18">
      <c r="A310" t="s">
        <v>21</v>
      </c>
      <c r="B310">
        <v>38</v>
      </c>
      <c r="D310" t="s">
        <v>1972</v>
      </c>
      <c r="E310" s="16">
        <v>8050450212456</v>
      </c>
      <c r="F310">
        <v>2</v>
      </c>
      <c r="H310">
        <v>2</v>
      </c>
      <c r="I310">
        <v>5</v>
      </c>
      <c r="J310" t="s">
        <v>316</v>
      </c>
      <c r="M310" s="17">
        <v>8050450212456</v>
      </c>
      <c r="N310" t="s">
        <v>337</v>
      </c>
      <c r="Q310" s="17">
        <v>8050450212456</v>
      </c>
      <c r="R310">
        <v>4</v>
      </c>
    </row>
    <row r="311" spans="1:18">
      <c r="A311" t="s">
        <v>22</v>
      </c>
      <c r="B311">
        <v>75</v>
      </c>
      <c r="D311" t="s">
        <v>1973</v>
      </c>
      <c r="E311" s="16">
        <v>8058983592427</v>
      </c>
      <c r="F311">
        <v>2</v>
      </c>
      <c r="H311">
        <v>1</v>
      </c>
      <c r="I311">
        <v>8</v>
      </c>
      <c r="J311" t="s">
        <v>325</v>
      </c>
      <c r="Q311" s="17">
        <v>8058983592427</v>
      </c>
      <c r="R311">
        <v>8</v>
      </c>
    </row>
    <row r="312" spans="1:18">
      <c r="A312" t="s">
        <v>1610</v>
      </c>
      <c r="B312">
        <v>422</v>
      </c>
      <c r="D312" t="s">
        <v>1974</v>
      </c>
      <c r="E312" s="16">
        <v>8050846006492</v>
      </c>
      <c r="F312">
        <v>3</v>
      </c>
      <c r="H312">
        <v>1</v>
      </c>
      <c r="I312">
        <v>15</v>
      </c>
      <c r="J312" t="s">
        <v>325</v>
      </c>
      <c r="Q312" s="17">
        <v>8050846006492</v>
      </c>
      <c r="R312">
        <v>15</v>
      </c>
    </row>
    <row r="313" spans="1:18">
      <c r="A313" t="s">
        <v>23</v>
      </c>
      <c r="B313">
        <v>26</v>
      </c>
      <c r="D313" t="s">
        <v>1975</v>
      </c>
      <c r="E313" s="16">
        <v>8050846006652</v>
      </c>
      <c r="F313">
        <v>2</v>
      </c>
      <c r="H313">
        <v>1</v>
      </c>
      <c r="I313">
        <v>10</v>
      </c>
      <c r="J313" t="s">
        <v>325</v>
      </c>
      <c r="Q313" s="17">
        <v>8050846006652</v>
      </c>
      <c r="R313">
        <v>10</v>
      </c>
    </row>
    <row r="314" spans="1:18">
      <c r="A314" t="s">
        <v>1579</v>
      </c>
      <c r="B314">
        <v>371</v>
      </c>
      <c r="D314" t="s">
        <v>1976</v>
      </c>
      <c r="E314" s="16">
        <v>8050846007253</v>
      </c>
      <c r="F314">
        <v>2</v>
      </c>
      <c r="H314">
        <v>2</v>
      </c>
      <c r="I314">
        <v>8</v>
      </c>
      <c r="J314" t="s">
        <v>317</v>
      </c>
      <c r="K314" s="17">
        <v>8050846007253</v>
      </c>
      <c r="L314" t="s">
        <v>348</v>
      </c>
      <c r="Q314" s="17">
        <v>8050846007253</v>
      </c>
      <c r="R314">
        <v>14</v>
      </c>
    </row>
    <row r="315" spans="1:18">
      <c r="A315" t="s">
        <v>21</v>
      </c>
      <c r="B315">
        <v>26</v>
      </c>
      <c r="D315" t="s">
        <v>1977</v>
      </c>
      <c r="E315" s="16">
        <v>8050846006393</v>
      </c>
      <c r="F315">
        <v>3</v>
      </c>
      <c r="H315">
        <v>1</v>
      </c>
      <c r="I315">
        <v>4</v>
      </c>
      <c r="J315" t="s">
        <v>325</v>
      </c>
      <c r="Q315" s="17">
        <v>8050846006393</v>
      </c>
      <c r="R315">
        <v>4</v>
      </c>
    </row>
    <row r="316" spans="1:18">
      <c r="A316" t="s">
        <v>1603</v>
      </c>
      <c r="B316">
        <v>76</v>
      </c>
      <c r="D316" t="s">
        <v>1978</v>
      </c>
      <c r="E316" s="16" t="s">
        <v>2212</v>
      </c>
      <c r="F316">
        <v>2</v>
      </c>
      <c r="H316">
        <v>1</v>
      </c>
      <c r="I316">
        <v>146</v>
      </c>
      <c r="J316" t="s">
        <v>325</v>
      </c>
      <c r="Q316" s="17"/>
      <c r="R316">
        <v>146</v>
      </c>
    </row>
    <row r="317" spans="1:18">
      <c r="A317" t="s">
        <v>26</v>
      </c>
      <c r="B317">
        <v>479</v>
      </c>
      <c r="D317" t="s">
        <v>1979</v>
      </c>
      <c r="E317" s="16">
        <v>8050846011465</v>
      </c>
      <c r="F317">
        <v>3</v>
      </c>
      <c r="H317">
        <v>1</v>
      </c>
      <c r="I317">
        <v>6</v>
      </c>
      <c r="J317" t="s">
        <v>325</v>
      </c>
      <c r="Q317" s="17">
        <v>8050846011465</v>
      </c>
      <c r="R317">
        <v>6</v>
      </c>
    </row>
    <row r="318" spans="1:18">
      <c r="A318" t="s">
        <v>27</v>
      </c>
      <c r="B318">
        <v>8</v>
      </c>
      <c r="D318" t="s">
        <v>318</v>
      </c>
      <c r="E318" s="16">
        <v>8050846008113</v>
      </c>
      <c r="F318">
        <v>6</v>
      </c>
      <c r="H318">
        <v>1</v>
      </c>
      <c r="I318">
        <v>198</v>
      </c>
      <c r="J318" t="s">
        <v>325</v>
      </c>
      <c r="Q318" s="17">
        <v>8050846008113</v>
      </c>
      <c r="R318">
        <v>198</v>
      </c>
    </row>
    <row r="319" spans="1:18">
      <c r="A319" t="s">
        <v>27</v>
      </c>
      <c r="B319">
        <v>63</v>
      </c>
      <c r="D319" t="s">
        <v>1980</v>
      </c>
      <c r="E319" s="16">
        <v>8050846008144</v>
      </c>
      <c r="F319">
        <v>6</v>
      </c>
      <c r="H319">
        <v>1</v>
      </c>
      <c r="I319">
        <v>198</v>
      </c>
      <c r="J319" t="s">
        <v>325</v>
      </c>
      <c r="Q319" s="17">
        <v>8050846008144</v>
      </c>
      <c r="R319">
        <v>198</v>
      </c>
    </row>
    <row r="320" spans="1:18">
      <c r="A320" t="s">
        <v>35</v>
      </c>
      <c r="B320">
        <v>63</v>
      </c>
      <c r="D320" t="s">
        <v>1981</v>
      </c>
      <c r="E320" s="16" t="s">
        <v>2211</v>
      </c>
      <c r="F320">
        <v>6</v>
      </c>
      <c r="H320">
        <v>0</v>
      </c>
      <c r="Q320" s="17"/>
    </row>
    <row r="321" spans="1:18">
      <c r="A321" t="s">
        <v>35</v>
      </c>
      <c r="B321">
        <v>422</v>
      </c>
      <c r="D321" t="s">
        <v>351</v>
      </c>
      <c r="E321" s="16" t="s">
        <v>2211</v>
      </c>
      <c r="F321">
        <v>6</v>
      </c>
      <c r="H321">
        <v>0</v>
      </c>
      <c r="Q321" s="17"/>
    </row>
    <row r="322" spans="1:18">
      <c r="A322" t="s">
        <v>10</v>
      </c>
      <c r="B322">
        <v>17</v>
      </c>
      <c r="D322" t="s">
        <v>1982</v>
      </c>
      <c r="E322" s="16">
        <v>8050846004771</v>
      </c>
      <c r="F322">
        <v>6</v>
      </c>
      <c r="H322">
        <v>1</v>
      </c>
      <c r="I322">
        <v>54</v>
      </c>
      <c r="J322" t="s">
        <v>325</v>
      </c>
      <c r="Q322" s="17">
        <v>8050846004771</v>
      </c>
      <c r="R322">
        <v>54</v>
      </c>
    </row>
    <row r="323" spans="1:18">
      <c r="A323" t="s">
        <v>29</v>
      </c>
      <c r="B323">
        <v>55</v>
      </c>
      <c r="D323" t="s">
        <v>1983</v>
      </c>
      <c r="E323" s="16">
        <v>8050846002760</v>
      </c>
      <c r="F323">
        <v>2</v>
      </c>
      <c r="H323">
        <v>1</v>
      </c>
      <c r="I323">
        <v>159</v>
      </c>
      <c r="J323" t="s">
        <v>325</v>
      </c>
      <c r="Q323" s="17">
        <v>8050846002760</v>
      </c>
      <c r="R323">
        <v>159</v>
      </c>
    </row>
    <row r="324" spans="1:18">
      <c r="A324" t="s">
        <v>105</v>
      </c>
      <c r="B324">
        <v>125</v>
      </c>
      <c r="D324" t="s">
        <v>1984</v>
      </c>
      <c r="E324" s="16">
        <v>8050846005044</v>
      </c>
      <c r="F324">
        <v>2</v>
      </c>
      <c r="H324">
        <v>1</v>
      </c>
      <c r="I324">
        <v>106</v>
      </c>
      <c r="J324" t="s">
        <v>325</v>
      </c>
      <c r="Q324" s="17">
        <v>8050846005044</v>
      </c>
      <c r="R324">
        <v>106</v>
      </c>
    </row>
    <row r="325" spans="1:18">
      <c r="A325" t="s">
        <v>1671</v>
      </c>
      <c r="B325">
        <v>475</v>
      </c>
      <c r="D325" t="s">
        <v>1985</v>
      </c>
      <c r="E325" s="16">
        <v>8050846003712</v>
      </c>
      <c r="F325">
        <v>2</v>
      </c>
      <c r="H325">
        <v>1</v>
      </c>
      <c r="I325">
        <v>82</v>
      </c>
      <c r="J325" t="s">
        <v>325</v>
      </c>
      <c r="K325" s="17"/>
      <c r="Q325" s="17">
        <v>8050846003712</v>
      </c>
      <c r="R325">
        <v>82</v>
      </c>
    </row>
    <row r="326" spans="1:18">
      <c r="A326" t="s">
        <v>32</v>
      </c>
      <c r="B326">
        <v>75</v>
      </c>
      <c r="D326" t="s">
        <v>1830</v>
      </c>
      <c r="E326" s="16">
        <v>8050846005327</v>
      </c>
      <c r="F326">
        <v>2</v>
      </c>
      <c r="H326">
        <v>1</v>
      </c>
      <c r="I326">
        <v>35</v>
      </c>
      <c r="J326" t="s">
        <v>325</v>
      </c>
      <c r="Q326" s="17">
        <v>8050846005327</v>
      </c>
      <c r="R326">
        <v>35</v>
      </c>
    </row>
    <row r="327" spans="1:18">
      <c r="A327" t="s">
        <v>25</v>
      </c>
      <c r="B327">
        <v>479</v>
      </c>
      <c r="D327" t="s">
        <v>1986</v>
      </c>
      <c r="E327" s="16">
        <v>8050846011557</v>
      </c>
      <c r="F327">
        <v>2</v>
      </c>
      <c r="H327">
        <v>1</v>
      </c>
      <c r="I327">
        <v>11</v>
      </c>
      <c r="J327" t="s">
        <v>325</v>
      </c>
      <c r="Q327" s="17">
        <v>8050846011557</v>
      </c>
      <c r="R327">
        <v>11</v>
      </c>
    </row>
    <row r="328" spans="1:18">
      <c r="A328" t="s">
        <v>49</v>
      </c>
      <c r="B328">
        <v>76</v>
      </c>
      <c r="D328" t="s">
        <v>1987</v>
      </c>
      <c r="E328" s="16">
        <v>8050846002029</v>
      </c>
      <c r="F328">
        <v>3</v>
      </c>
      <c r="H328">
        <v>1</v>
      </c>
      <c r="I328">
        <v>99</v>
      </c>
      <c r="J328" t="s">
        <v>325</v>
      </c>
      <c r="Q328" s="17">
        <v>8050846002029</v>
      </c>
      <c r="R328">
        <v>99</v>
      </c>
    </row>
    <row r="329" spans="1:18">
      <c r="A329" t="s">
        <v>1672</v>
      </c>
      <c r="B329">
        <v>17</v>
      </c>
      <c r="D329" t="s">
        <v>1988</v>
      </c>
      <c r="E329" s="16">
        <v>8050846003842</v>
      </c>
      <c r="F329">
        <v>2</v>
      </c>
      <c r="H329">
        <v>1</v>
      </c>
      <c r="I329">
        <v>102</v>
      </c>
      <c r="J329" t="s">
        <v>325</v>
      </c>
      <c r="Q329" s="17">
        <v>8050846003842</v>
      </c>
      <c r="R329">
        <v>102</v>
      </c>
    </row>
    <row r="330" spans="1:18">
      <c r="A330" t="s">
        <v>96</v>
      </c>
      <c r="B330">
        <v>75</v>
      </c>
      <c r="D330" t="s">
        <v>364</v>
      </c>
      <c r="E330" s="16">
        <v>8050846005365</v>
      </c>
      <c r="F330">
        <v>3</v>
      </c>
      <c r="H330">
        <v>1</v>
      </c>
      <c r="I330">
        <v>35</v>
      </c>
      <c r="J330" t="s">
        <v>325</v>
      </c>
      <c r="Q330" s="17">
        <v>8050846005365</v>
      </c>
      <c r="R330">
        <v>35</v>
      </c>
    </row>
    <row r="331" spans="1:18">
      <c r="A331" t="s">
        <v>1610</v>
      </c>
      <c r="B331">
        <v>479</v>
      </c>
      <c r="D331" t="s">
        <v>1989</v>
      </c>
      <c r="E331" s="16" t="s">
        <v>2212</v>
      </c>
      <c r="F331">
        <v>3</v>
      </c>
      <c r="H331">
        <v>1</v>
      </c>
      <c r="I331">
        <v>15</v>
      </c>
      <c r="J331" t="s">
        <v>325</v>
      </c>
      <c r="Q331" s="17"/>
      <c r="R331">
        <v>15</v>
      </c>
    </row>
    <row r="332" spans="1:18">
      <c r="A332" t="s">
        <v>103</v>
      </c>
      <c r="B332">
        <v>72</v>
      </c>
      <c r="D332" t="s">
        <v>1990</v>
      </c>
      <c r="E332" s="16">
        <v>8050846005501</v>
      </c>
      <c r="F332">
        <v>2</v>
      </c>
      <c r="H332">
        <v>1</v>
      </c>
      <c r="I332">
        <v>153</v>
      </c>
      <c r="J332" t="s">
        <v>325</v>
      </c>
      <c r="Q332" s="17">
        <v>8050846005501</v>
      </c>
      <c r="R332">
        <v>153</v>
      </c>
    </row>
    <row r="333" spans="1:18">
      <c r="A333" t="s">
        <v>60</v>
      </c>
      <c r="B333">
        <v>72</v>
      </c>
      <c r="D333" t="s">
        <v>1991</v>
      </c>
      <c r="E333" s="16">
        <v>8050846005167</v>
      </c>
      <c r="F333">
        <v>2</v>
      </c>
      <c r="H333">
        <v>1</v>
      </c>
      <c r="I333">
        <v>136</v>
      </c>
      <c r="J333" t="s">
        <v>325</v>
      </c>
      <c r="Q333" s="17">
        <v>8050846005167</v>
      </c>
      <c r="R333">
        <v>136</v>
      </c>
    </row>
    <row r="334" spans="1:18">
      <c r="A334" t="s">
        <v>106</v>
      </c>
      <c r="B334">
        <v>125</v>
      </c>
      <c r="D334" t="s">
        <v>1992</v>
      </c>
      <c r="E334" s="16">
        <v>8050846005082</v>
      </c>
      <c r="F334">
        <v>2</v>
      </c>
      <c r="H334">
        <v>1</v>
      </c>
      <c r="I334">
        <v>116</v>
      </c>
      <c r="J334" t="s">
        <v>325</v>
      </c>
      <c r="Q334" s="17">
        <v>8050846005082</v>
      </c>
      <c r="R334">
        <v>116</v>
      </c>
    </row>
    <row r="335" spans="1:18">
      <c r="A335" t="s">
        <v>107</v>
      </c>
      <c r="B335">
        <v>480</v>
      </c>
      <c r="D335" t="s">
        <v>1993</v>
      </c>
      <c r="E335" s="16">
        <v>8050846004061</v>
      </c>
      <c r="F335">
        <v>2</v>
      </c>
      <c r="H335">
        <v>1</v>
      </c>
      <c r="I335">
        <v>119</v>
      </c>
      <c r="J335" t="s">
        <v>325</v>
      </c>
      <c r="Q335" s="17">
        <v>8050846004061</v>
      </c>
      <c r="R335">
        <v>119</v>
      </c>
    </row>
    <row r="336" spans="1:18">
      <c r="A336" t="s">
        <v>108</v>
      </c>
      <c r="B336">
        <v>8</v>
      </c>
      <c r="D336" t="s">
        <v>1994</v>
      </c>
      <c r="E336" s="16" t="s">
        <v>2212</v>
      </c>
      <c r="F336">
        <v>2</v>
      </c>
      <c r="H336">
        <v>1</v>
      </c>
      <c r="I336">
        <v>79</v>
      </c>
      <c r="J336" t="s">
        <v>325</v>
      </c>
      <c r="Q336" s="17"/>
      <c r="R336">
        <v>79</v>
      </c>
    </row>
    <row r="337" spans="1:18">
      <c r="A337" t="s">
        <v>59</v>
      </c>
      <c r="B337">
        <v>75</v>
      </c>
      <c r="D337" t="s">
        <v>1995</v>
      </c>
      <c r="E337" s="16" t="s">
        <v>2211</v>
      </c>
      <c r="F337">
        <v>2</v>
      </c>
      <c r="H337">
        <v>0</v>
      </c>
      <c r="Q337" s="17"/>
    </row>
    <row r="338" spans="1:18">
      <c r="A338" t="s">
        <v>1567</v>
      </c>
      <c r="B338">
        <v>479</v>
      </c>
      <c r="D338" t="s">
        <v>1996</v>
      </c>
      <c r="E338" s="16">
        <v>8050846007390</v>
      </c>
      <c r="F338">
        <v>3</v>
      </c>
      <c r="H338">
        <v>1</v>
      </c>
      <c r="I338">
        <v>240</v>
      </c>
      <c r="J338" t="s">
        <v>325</v>
      </c>
      <c r="Q338" s="17">
        <v>8050846007390</v>
      </c>
      <c r="R338">
        <v>240</v>
      </c>
    </row>
    <row r="339" spans="1:18">
      <c r="A339" t="s">
        <v>109</v>
      </c>
      <c r="B339">
        <v>481</v>
      </c>
      <c r="D339" t="s">
        <v>1997</v>
      </c>
      <c r="E339" s="16">
        <v>8050846003835</v>
      </c>
      <c r="F339">
        <v>2</v>
      </c>
      <c r="H339">
        <v>1</v>
      </c>
      <c r="I339">
        <v>102</v>
      </c>
      <c r="J339" t="s">
        <v>325</v>
      </c>
      <c r="Q339" s="17">
        <v>8050846003835</v>
      </c>
      <c r="R339">
        <v>102</v>
      </c>
    </row>
    <row r="340" spans="1:18">
      <c r="A340" t="s">
        <v>23</v>
      </c>
      <c r="B340">
        <v>479</v>
      </c>
      <c r="D340" t="s">
        <v>1998</v>
      </c>
      <c r="E340" s="16">
        <v>8050846011496</v>
      </c>
      <c r="F340">
        <v>2</v>
      </c>
      <c r="H340">
        <v>1</v>
      </c>
      <c r="I340">
        <v>10</v>
      </c>
      <c r="J340" t="s">
        <v>325</v>
      </c>
      <c r="Q340" s="17">
        <v>8050846011496</v>
      </c>
      <c r="R340">
        <v>10</v>
      </c>
    </row>
    <row r="341" spans="1:18">
      <c r="A341" t="s">
        <v>0</v>
      </c>
      <c r="B341">
        <v>347</v>
      </c>
      <c r="D341" t="s">
        <v>1999</v>
      </c>
      <c r="E341" s="16">
        <v>8050846001794</v>
      </c>
      <c r="F341">
        <v>2</v>
      </c>
      <c r="H341">
        <v>1</v>
      </c>
      <c r="I341">
        <v>92</v>
      </c>
      <c r="J341" t="s">
        <v>325</v>
      </c>
      <c r="Q341" s="17">
        <v>8050846001794</v>
      </c>
      <c r="R341">
        <v>92</v>
      </c>
    </row>
    <row r="342" spans="1:18">
      <c r="A342" t="s">
        <v>26</v>
      </c>
      <c r="B342">
        <v>484</v>
      </c>
      <c r="D342" t="s">
        <v>2000</v>
      </c>
      <c r="E342" s="16">
        <v>8050846016736</v>
      </c>
      <c r="F342">
        <v>3</v>
      </c>
      <c r="H342">
        <v>1</v>
      </c>
      <c r="I342">
        <v>6</v>
      </c>
      <c r="J342" t="s">
        <v>325</v>
      </c>
      <c r="Q342" s="17">
        <v>8050846016736</v>
      </c>
      <c r="R342">
        <v>6</v>
      </c>
    </row>
    <row r="343" spans="1:18">
      <c r="A343" t="s">
        <v>50</v>
      </c>
      <c r="B343">
        <v>371</v>
      </c>
      <c r="D343" t="s">
        <v>2001</v>
      </c>
      <c r="E343" s="16">
        <v>8050846003309</v>
      </c>
      <c r="F343">
        <v>3</v>
      </c>
      <c r="H343">
        <v>1</v>
      </c>
      <c r="I343">
        <v>7</v>
      </c>
      <c r="J343" t="s">
        <v>325</v>
      </c>
      <c r="Q343" s="17">
        <v>8050846003309</v>
      </c>
      <c r="R343">
        <v>7</v>
      </c>
    </row>
    <row r="344" spans="1:18">
      <c r="A344" t="s">
        <v>1651</v>
      </c>
      <c r="B344">
        <v>36</v>
      </c>
      <c r="D344" t="s">
        <v>2002</v>
      </c>
      <c r="E344" s="16">
        <v>8050846002692</v>
      </c>
      <c r="F344">
        <v>3</v>
      </c>
      <c r="H344">
        <v>1</v>
      </c>
      <c r="I344">
        <v>149</v>
      </c>
      <c r="J344" t="s">
        <v>325</v>
      </c>
      <c r="M344" s="17"/>
      <c r="Q344" s="17">
        <v>8050846002692</v>
      </c>
      <c r="R344">
        <v>149</v>
      </c>
    </row>
    <row r="345" spans="1:18">
      <c r="A345" t="s">
        <v>76</v>
      </c>
      <c r="B345">
        <v>36</v>
      </c>
      <c r="D345" t="s">
        <v>2003</v>
      </c>
      <c r="E345" s="16">
        <v>8050846002371</v>
      </c>
      <c r="F345">
        <v>2</v>
      </c>
      <c r="H345">
        <v>1</v>
      </c>
      <c r="I345">
        <v>118</v>
      </c>
      <c r="J345" t="s">
        <v>325</v>
      </c>
      <c r="K345" s="17"/>
      <c r="O345" s="17"/>
      <c r="Q345" s="17">
        <v>8050846002371</v>
      </c>
      <c r="R345">
        <v>118</v>
      </c>
    </row>
    <row r="346" spans="1:18">
      <c r="A346" t="s">
        <v>75</v>
      </c>
      <c r="B346">
        <v>55</v>
      </c>
      <c r="D346" t="s">
        <v>2004</v>
      </c>
      <c r="E346" s="16">
        <v>8050846002470</v>
      </c>
      <c r="F346">
        <v>2</v>
      </c>
      <c r="H346">
        <v>1</v>
      </c>
      <c r="I346">
        <v>131</v>
      </c>
      <c r="J346" t="s">
        <v>325</v>
      </c>
      <c r="M346" s="17"/>
      <c r="Q346" s="17">
        <v>8050846002470</v>
      </c>
      <c r="R346">
        <v>131</v>
      </c>
    </row>
    <row r="347" spans="1:18">
      <c r="A347" t="s">
        <v>19</v>
      </c>
      <c r="B347">
        <v>26</v>
      </c>
      <c r="D347" t="s">
        <v>2005</v>
      </c>
      <c r="E347" s="16">
        <v>8050846004672</v>
      </c>
      <c r="F347">
        <v>3</v>
      </c>
      <c r="H347">
        <v>1</v>
      </c>
      <c r="I347">
        <v>160</v>
      </c>
      <c r="J347" t="s">
        <v>325</v>
      </c>
      <c r="K347" s="17"/>
      <c r="O347" s="17"/>
      <c r="Q347" s="17">
        <v>8050846004672</v>
      </c>
      <c r="R347">
        <v>160</v>
      </c>
    </row>
    <row r="348" spans="1:18">
      <c r="A348" t="s">
        <v>51</v>
      </c>
      <c r="B348">
        <v>26</v>
      </c>
      <c r="D348" t="s">
        <v>2006</v>
      </c>
      <c r="E348" s="16">
        <v>8050846004443</v>
      </c>
      <c r="F348">
        <v>8</v>
      </c>
      <c r="H348">
        <v>1</v>
      </c>
      <c r="I348">
        <v>36</v>
      </c>
      <c r="J348" t="s">
        <v>325</v>
      </c>
      <c r="Q348" s="17">
        <v>8050846004443</v>
      </c>
      <c r="R348">
        <v>36</v>
      </c>
    </row>
    <row r="349" spans="1:18">
      <c r="A349" t="s">
        <v>107</v>
      </c>
      <c r="B349">
        <v>481</v>
      </c>
      <c r="D349" t="s">
        <v>2007</v>
      </c>
      <c r="E349" s="16">
        <v>8050846004078</v>
      </c>
      <c r="F349">
        <v>2</v>
      </c>
      <c r="H349">
        <v>1</v>
      </c>
      <c r="I349">
        <v>119</v>
      </c>
      <c r="J349" t="s">
        <v>325</v>
      </c>
      <c r="O349" s="17"/>
      <c r="Q349" s="17">
        <v>8050846004078</v>
      </c>
      <c r="R349">
        <v>119</v>
      </c>
    </row>
    <row r="350" spans="1:18">
      <c r="A350" t="s">
        <v>110</v>
      </c>
      <c r="B350">
        <v>441</v>
      </c>
      <c r="D350" t="s">
        <v>2008</v>
      </c>
      <c r="E350" s="16">
        <v>8050846003538</v>
      </c>
      <c r="F350">
        <v>2</v>
      </c>
      <c r="H350">
        <v>1</v>
      </c>
      <c r="I350">
        <v>139</v>
      </c>
      <c r="J350" t="s">
        <v>325</v>
      </c>
      <c r="O350" s="17"/>
      <c r="Q350" s="17">
        <v>8050846003538</v>
      </c>
      <c r="R350">
        <v>139</v>
      </c>
    </row>
    <row r="351" spans="1:18">
      <c r="A351" t="s">
        <v>59</v>
      </c>
      <c r="B351">
        <v>371</v>
      </c>
      <c r="D351" t="s">
        <v>2009</v>
      </c>
      <c r="E351" s="16" t="s">
        <v>2211</v>
      </c>
      <c r="F351">
        <v>2</v>
      </c>
      <c r="H351">
        <v>0</v>
      </c>
      <c r="K351" s="17"/>
      <c r="O351" s="17"/>
    </row>
    <row r="352" spans="1:18">
      <c r="A352" t="s">
        <v>59</v>
      </c>
      <c r="B352">
        <v>479</v>
      </c>
      <c r="D352" t="s">
        <v>2010</v>
      </c>
      <c r="E352" s="16" t="s">
        <v>2211</v>
      </c>
      <c r="F352">
        <v>2</v>
      </c>
      <c r="H352">
        <v>0</v>
      </c>
      <c r="Q352" s="17"/>
    </row>
    <row r="353" spans="1:18">
      <c r="A353" t="s">
        <v>60</v>
      </c>
      <c r="B353">
        <v>130</v>
      </c>
      <c r="D353" t="s">
        <v>2011</v>
      </c>
      <c r="E353" s="16">
        <v>8050846005174</v>
      </c>
      <c r="F353">
        <v>2</v>
      </c>
      <c r="H353">
        <v>1</v>
      </c>
      <c r="I353">
        <v>136</v>
      </c>
      <c r="J353" t="s">
        <v>325</v>
      </c>
      <c r="Q353" s="17">
        <v>8050846005174</v>
      </c>
      <c r="R353">
        <v>136</v>
      </c>
    </row>
    <row r="354" spans="1:18">
      <c r="A354" t="s">
        <v>5</v>
      </c>
      <c r="B354">
        <v>75</v>
      </c>
      <c r="D354" t="s">
        <v>2012</v>
      </c>
      <c r="E354" s="16">
        <v>8050846005457</v>
      </c>
      <c r="F354">
        <v>2</v>
      </c>
      <c r="H354">
        <v>1</v>
      </c>
      <c r="I354">
        <v>108</v>
      </c>
      <c r="J354" t="s">
        <v>325</v>
      </c>
      <c r="Q354" s="17">
        <v>8050846005457</v>
      </c>
      <c r="R354">
        <v>108</v>
      </c>
    </row>
    <row r="355" spans="1:18">
      <c r="A355" t="s">
        <v>90</v>
      </c>
      <c r="B355">
        <v>72</v>
      </c>
      <c r="D355" t="s">
        <v>2013</v>
      </c>
      <c r="E355" s="16">
        <v>8050846005129</v>
      </c>
      <c r="F355">
        <v>2</v>
      </c>
      <c r="H355">
        <v>1</v>
      </c>
      <c r="I355">
        <v>120</v>
      </c>
      <c r="J355" t="s">
        <v>325</v>
      </c>
      <c r="Q355" s="17">
        <v>8050846005129</v>
      </c>
      <c r="R355">
        <v>120</v>
      </c>
    </row>
    <row r="356" spans="1:18">
      <c r="A356" t="s">
        <v>1</v>
      </c>
      <c r="B356">
        <v>72</v>
      </c>
      <c r="D356" t="s">
        <v>2014</v>
      </c>
      <c r="E356" s="16">
        <v>8050846005402</v>
      </c>
      <c r="F356">
        <v>4</v>
      </c>
      <c r="H356">
        <v>1</v>
      </c>
      <c r="I356">
        <v>34</v>
      </c>
      <c r="J356" t="s">
        <v>325</v>
      </c>
      <c r="Q356" s="17">
        <v>8050846005402</v>
      </c>
      <c r="R356">
        <v>34</v>
      </c>
    </row>
    <row r="357" spans="1:18">
      <c r="A357" t="s">
        <v>51</v>
      </c>
      <c r="B357">
        <v>483</v>
      </c>
      <c r="D357" t="s">
        <v>2015</v>
      </c>
      <c r="E357" s="16">
        <v>8050846005358</v>
      </c>
      <c r="F357">
        <v>8</v>
      </c>
      <c r="H357">
        <v>1</v>
      </c>
      <c r="I357">
        <v>36</v>
      </c>
      <c r="J357" t="s">
        <v>325</v>
      </c>
      <c r="Q357" s="17">
        <v>8050846005358</v>
      </c>
      <c r="R357">
        <v>36</v>
      </c>
    </row>
    <row r="358" spans="1:18">
      <c r="A358" t="s">
        <v>61</v>
      </c>
      <c r="B358">
        <v>25</v>
      </c>
      <c r="D358" t="s">
        <v>331</v>
      </c>
      <c r="E358" s="16">
        <v>8050846007666</v>
      </c>
      <c r="F358">
        <v>3</v>
      </c>
      <c r="H358">
        <v>1</v>
      </c>
      <c r="I358">
        <v>165</v>
      </c>
      <c r="J358" t="s">
        <v>325</v>
      </c>
      <c r="Q358" s="17">
        <v>8050846007666</v>
      </c>
      <c r="R358">
        <v>165</v>
      </c>
    </row>
    <row r="359" spans="1:18">
      <c r="A359" t="s">
        <v>111</v>
      </c>
      <c r="B359">
        <v>134</v>
      </c>
      <c r="D359" t="s">
        <v>2016</v>
      </c>
      <c r="E359" s="16">
        <v>8050846007673</v>
      </c>
      <c r="F359">
        <v>3</v>
      </c>
      <c r="H359">
        <v>1</v>
      </c>
      <c r="I359">
        <v>165</v>
      </c>
      <c r="J359" t="s">
        <v>325</v>
      </c>
      <c r="Q359" s="17">
        <v>8050846007673</v>
      </c>
      <c r="R359">
        <v>165</v>
      </c>
    </row>
    <row r="360" spans="1:18">
      <c r="A360" t="s">
        <v>89</v>
      </c>
      <c r="B360">
        <v>75</v>
      </c>
      <c r="D360" t="s">
        <v>2017</v>
      </c>
      <c r="E360" s="16">
        <v>8050846007710</v>
      </c>
      <c r="F360">
        <v>3</v>
      </c>
      <c r="H360">
        <v>1</v>
      </c>
      <c r="I360">
        <v>183</v>
      </c>
      <c r="J360" t="s">
        <v>325</v>
      </c>
      <c r="Q360" s="17">
        <v>8050846007710</v>
      </c>
      <c r="R360">
        <v>183</v>
      </c>
    </row>
    <row r="361" spans="1:18">
      <c r="A361" t="s">
        <v>89</v>
      </c>
      <c r="B361">
        <v>130</v>
      </c>
      <c r="D361" t="s">
        <v>2018</v>
      </c>
      <c r="E361" s="16">
        <v>8050846007703</v>
      </c>
      <c r="F361">
        <v>3</v>
      </c>
      <c r="H361">
        <v>1</v>
      </c>
      <c r="I361">
        <v>183</v>
      </c>
      <c r="J361" t="s">
        <v>325</v>
      </c>
      <c r="Q361" s="17">
        <v>8050846007703</v>
      </c>
      <c r="R361">
        <v>183</v>
      </c>
    </row>
    <row r="362" spans="1:18">
      <c r="A362" t="s">
        <v>15</v>
      </c>
      <c r="B362">
        <v>347</v>
      </c>
      <c r="D362" t="s">
        <v>2019</v>
      </c>
      <c r="E362" s="16">
        <v>8050846002210</v>
      </c>
      <c r="F362">
        <v>2</v>
      </c>
      <c r="H362">
        <v>1</v>
      </c>
      <c r="I362">
        <v>106</v>
      </c>
      <c r="J362" t="s">
        <v>325</v>
      </c>
      <c r="Q362" s="17">
        <v>8050846002210</v>
      </c>
      <c r="R362">
        <v>106</v>
      </c>
    </row>
    <row r="363" spans="1:18">
      <c r="A363" t="s">
        <v>5</v>
      </c>
      <c r="B363">
        <v>422</v>
      </c>
      <c r="D363" t="s">
        <v>2020</v>
      </c>
      <c r="E363" s="16">
        <v>8050846002166</v>
      </c>
      <c r="F363">
        <v>2</v>
      </c>
      <c r="H363">
        <v>1</v>
      </c>
      <c r="I363">
        <v>108</v>
      </c>
      <c r="J363" t="s">
        <v>325</v>
      </c>
      <c r="Q363" s="17">
        <v>8050846002166</v>
      </c>
      <c r="R363">
        <v>108</v>
      </c>
    </row>
    <row r="364" spans="1:18">
      <c r="A364" t="s">
        <v>22</v>
      </c>
      <c r="B364">
        <v>38</v>
      </c>
      <c r="D364" t="s">
        <v>2021</v>
      </c>
      <c r="E364" s="16">
        <v>8058983596241</v>
      </c>
      <c r="F364">
        <v>2</v>
      </c>
      <c r="H364">
        <v>2</v>
      </c>
      <c r="I364">
        <v>9</v>
      </c>
      <c r="J364" t="s">
        <v>316</v>
      </c>
      <c r="M364" s="17">
        <v>8058983596241</v>
      </c>
      <c r="N364" t="s">
        <v>342</v>
      </c>
      <c r="Q364" s="17"/>
      <c r="R364">
        <v>8</v>
      </c>
    </row>
    <row r="365" spans="1:18">
      <c r="A365" t="s">
        <v>112</v>
      </c>
      <c r="B365">
        <v>78</v>
      </c>
      <c r="D365" t="s">
        <v>2022</v>
      </c>
      <c r="E365" s="16">
        <v>8056099171574</v>
      </c>
      <c r="F365">
        <v>2</v>
      </c>
      <c r="H365">
        <v>2</v>
      </c>
      <c r="I365">
        <v>35</v>
      </c>
      <c r="J365" t="s">
        <v>317</v>
      </c>
      <c r="K365" s="17">
        <v>8056099171574</v>
      </c>
      <c r="L365" t="s">
        <v>2023</v>
      </c>
      <c r="M365" s="17">
        <v>8056099171574</v>
      </c>
      <c r="N365" t="s">
        <v>2024</v>
      </c>
      <c r="Q365" s="17"/>
    </row>
    <row r="366" spans="1:18">
      <c r="A366" t="s">
        <v>1610</v>
      </c>
      <c r="B366">
        <v>55</v>
      </c>
      <c r="D366" t="s">
        <v>2025</v>
      </c>
      <c r="E366" s="16">
        <v>8056098539450</v>
      </c>
      <c r="F366">
        <v>2</v>
      </c>
      <c r="H366">
        <v>2</v>
      </c>
      <c r="I366">
        <v>12</v>
      </c>
      <c r="J366" t="s">
        <v>317</v>
      </c>
      <c r="K366" s="17">
        <v>8056098539450</v>
      </c>
      <c r="L366" t="s">
        <v>1749</v>
      </c>
      <c r="Q366" s="17">
        <v>8056098539450</v>
      </c>
      <c r="R366">
        <v>15</v>
      </c>
    </row>
    <row r="367" spans="1:18">
      <c r="A367" t="s">
        <v>26</v>
      </c>
      <c r="B367">
        <v>38</v>
      </c>
      <c r="D367" t="s">
        <v>2026</v>
      </c>
      <c r="E367" s="16">
        <v>8056300457374</v>
      </c>
      <c r="F367">
        <v>3</v>
      </c>
      <c r="H367">
        <v>2</v>
      </c>
      <c r="I367">
        <v>7</v>
      </c>
      <c r="J367" t="s">
        <v>316</v>
      </c>
      <c r="M367" s="17">
        <v>8056300457374</v>
      </c>
      <c r="N367" t="s">
        <v>1864</v>
      </c>
      <c r="Q367" s="17">
        <v>8050450212647</v>
      </c>
      <c r="R367">
        <v>6</v>
      </c>
    </row>
    <row r="368" spans="1:18">
      <c r="A368" t="s">
        <v>24</v>
      </c>
      <c r="B368">
        <v>17</v>
      </c>
      <c r="D368" t="s">
        <v>341</v>
      </c>
      <c r="E368" s="16">
        <v>8056099177231</v>
      </c>
      <c r="F368">
        <v>1</v>
      </c>
      <c r="H368">
        <v>2</v>
      </c>
      <c r="I368">
        <v>9</v>
      </c>
      <c r="J368" t="s">
        <v>317</v>
      </c>
      <c r="K368" s="17">
        <v>8056099177231</v>
      </c>
      <c r="L368" t="s">
        <v>342</v>
      </c>
      <c r="O368" s="17">
        <v>8056099177231</v>
      </c>
      <c r="P368">
        <v>10</v>
      </c>
      <c r="Q368" s="17"/>
    </row>
    <row r="369" spans="1:18">
      <c r="A369" t="s">
        <v>22</v>
      </c>
      <c r="B369">
        <v>78</v>
      </c>
      <c r="D369" t="s">
        <v>2027</v>
      </c>
      <c r="E369" s="16" t="s">
        <v>2212</v>
      </c>
      <c r="F369">
        <v>1</v>
      </c>
      <c r="H369">
        <v>1</v>
      </c>
      <c r="I369">
        <v>6</v>
      </c>
      <c r="J369" t="s">
        <v>324</v>
      </c>
      <c r="O369" s="17"/>
      <c r="P369">
        <v>6</v>
      </c>
      <c r="Q369" s="17"/>
    </row>
    <row r="370" spans="1:18">
      <c r="A370" t="s">
        <v>1</v>
      </c>
      <c r="B370">
        <v>55</v>
      </c>
      <c r="D370" t="s">
        <v>2028</v>
      </c>
      <c r="E370" s="16">
        <v>8050538595198</v>
      </c>
      <c r="F370">
        <v>4</v>
      </c>
      <c r="H370">
        <v>2</v>
      </c>
      <c r="I370">
        <v>25</v>
      </c>
      <c r="J370" t="s">
        <v>316</v>
      </c>
      <c r="M370" s="17">
        <v>8050538595198</v>
      </c>
      <c r="N370" t="s">
        <v>1820</v>
      </c>
      <c r="Q370" s="17">
        <v>8050538595198</v>
      </c>
      <c r="R370">
        <v>34</v>
      </c>
    </row>
    <row r="371" spans="1:18">
      <c r="A371" t="s">
        <v>112</v>
      </c>
      <c r="B371">
        <v>55</v>
      </c>
      <c r="D371" t="s">
        <v>2029</v>
      </c>
      <c r="E371" s="16">
        <v>8050846008281</v>
      </c>
      <c r="F371">
        <v>2</v>
      </c>
      <c r="H371">
        <v>2</v>
      </c>
      <c r="I371">
        <v>35</v>
      </c>
      <c r="J371" t="s">
        <v>317</v>
      </c>
      <c r="K371" s="17">
        <v>8050846008281</v>
      </c>
      <c r="L371" t="s">
        <v>2023</v>
      </c>
      <c r="M371" s="17" t="s">
        <v>347</v>
      </c>
      <c r="N371" t="s">
        <v>2024</v>
      </c>
      <c r="Q371" s="17"/>
    </row>
    <row r="372" spans="1:18">
      <c r="A372" t="s">
        <v>1579</v>
      </c>
      <c r="B372">
        <v>17</v>
      </c>
      <c r="D372" t="s">
        <v>2030</v>
      </c>
      <c r="E372" s="16">
        <v>8050538597826</v>
      </c>
      <c r="F372">
        <v>2</v>
      </c>
      <c r="H372">
        <v>2</v>
      </c>
      <c r="I372">
        <v>8</v>
      </c>
      <c r="J372" t="s">
        <v>317</v>
      </c>
      <c r="K372" s="17">
        <v>8050538597826</v>
      </c>
      <c r="L372" t="s">
        <v>348</v>
      </c>
      <c r="Q372" s="17"/>
      <c r="R372">
        <v>14</v>
      </c>
    </row>
    <row r="373" spans="1:18">
      <c r="A373" t="s">
        <v>1610</v>
      </c>
      <c r="B373">
        <v>26</v>
      </c>
      <c r="D373" t="s">
        <v>2031</v>
      </c>
      <c r="E373" s="16">
        <v>8050846006515</v>
      </c>
      <c r="F373">
        <v>3</v>
      </c>
      <c r="H373">
        <v>1</v>
      </c>
      <c r="I373">
        <v>15</v>
      </c>
      <c r="J373" t="s">
        <v>325</v>
      </c>
      <c r="Q373" s="17">
        <v>8050846006515</v>
      </c>
      <c r="R373">
        <v>15</v>
      </c>
    </row>
    <row r="374" spans="1:18">
      <c r="A374" t="s">
        <v>25</v>
      </c>
      <c r="B374">
        <v>26</v>
      </c>
      <c r="D374" t="s">
        <v>2032</v>
      </c>
      <c r="E374" s="16">
        <v>8050846006782</v>
      </c>
      <c r="F374">
        <v>2</v>
      </c>
      <c r="H374">
        <v>1</v>
      </c>
      <c r="I374">
        <v>11</v>
      </c>
      <c r="J374" t="s">
        <v>325</v>
      </c>
      <c r="Q374" s="17">
        <v>8050846006782</v>
      </c>
      <c r="R374">
        <v>11</v>
      </c>
    </row>
    <row r="375" spans="1:18">
      <c r="A375" t="s">
        <v>26</v>
      </c>
      <c r="B375">
        <v>347</v>
      </c>
      <c r="D375" t="s">
        <v>2033</v>
      </c>
      <c r="E375" s="16">
        <v>8050846006546</v>
      </c>
      <c r="F375">
        <v>3</v>
      </c>
      <c r="H375">
        <v>1</v>
      </c>
      <c r="I375">
        <v>6</v>
      </c>
      <c r="J375" t="s">
        <v>325</v>
      </c>
      <c r="Q375" s="17">
        <v>8050846006546</v>
      </c>
      <c r="R375">
        <v>6</v>
      </c>
    </row>
    <row r="376" spans="1:18">
      <c r="A376" t="s">
        <v>35</v>
      </c>
      <c r="B376">
        <v>76</v>
      </c>
      <c r="D376" t="s">
        <v>2034</v>
      </c>
      <c r="E376" s="16" t="s">
        <v>2211</v>
      </c>
      <c r="F376">
        <v>6</v>
      </c>
      <c r="H376">
        <v>0</v>
      </c>
    </row>
    <row r="377" spans="1:18">
      <c r="A377" t="s">
        <v>27</v>
      </c>
      <c r="B377">
        <v>422</v>
      </c>
      <c r="D377" t="s">
        <v>2035</v>
      </c>
      <c r="E377" s="16">
        <v>8050846008182</v>
      </c>
      <c r="F377">
        <v>6</v>
      </c>
      <c r="H377">
        <v>1</v>
      </c>
      <c r="I377">
        <v>198</v>
      </c>
      <c r="J377" t="s">
        <v>325</v>
      </c>
      <c r="Q377" s="17">
        <v>8050846008182</v>
      </c>
      <c r="R377">
        <v>198</v>
      </c>
    </row>
    <row r="378" spans="1:18">
      <c r="A378" t="s">
        <v>29</v>
      </c>
      <c r="B378">
        <v>75</v>
      </c>
      <c r="D378" t="s">
        <v>352</v>
      </c>
      <c r="E378" s="16">
        <v>8050846005419</v>
      </c>
      <c r="F378">
        <v>2</v>
      </c>
      <c r="H378">
        <v>1</v>
      </c>
      <c r="I378">
        <v>159</v>
      </c>
      <c r="J378" t="s">
        <v>325</v>
      </c>
      <c r="Q378" s="17">
        <v>8050846005419</v>
      </c>
      <c r="R378">
        <v>159</v>
      </c>
    </row>
    <row r="379" spans="1:18">
      <c r="A379" t="s">
        <v>24</v>
      </c>
      <c r="B379">
        <v>347</v>
      </c>
      <c r="D379" t="s">
        <v>2036</v>
      </c>
      <c r="E379" s="16">
        <v>8050846006928</v>
      </c>
      <c r="F379">
        <v>3</v>
      </c>
      <c r="H379">
        <v>1</v>
      </c>
      <c r="I379">
        <v>16</v>
      </c>
      <c r="J379" t="s">
        <v>325</v>
      </c>
      <c r="Q379" s="17">
        <v>8050846006928</v>
      </c>
      <c r="R379">
        <v>16</v>
      </c>
    </row>
    <row r="380" spans="1:18">
      <c r="A380" t="s">
        <v>1658</v>
      </c>
      <c r="B380">
        <v>36</v>
      </c>
      <c r="D380" t="s">
        <v>2037</v>
      </c>
      <c r="E380" s="16">
        <v>8050846005136</v>
      </c>
      <c r="F380">
        <v>2</v>
      </c>
      <c r="H380">
        <v>1</v>
      </c>
      <c r="I380">
        <v>135</v>
      </c>
      <c r="J380" t="s">
        <v>325</v>
      </c>
      <c r="Q380" s="17">
        <v>8050846005136</v>
      </c>
      <c r="R380">
        <v>135</v>
      </c>
    </row>
    <row r="381" spans="1:18">
      <c r="A381" t="s">
        <v>113</v>
      </c>
      <c r="B381">
        <v>227</v>
      </c>
      <c r="D381" t="s">
        <v>354</v>
      </c>
      <c r="E381" s="16" t="s">
        <v>2212</v>
      </c>
      <c r="F381">
        <v>2</v>
      </c>
      <c r="H381">
        <v>1</v>
      </c>
      <c r="I381">
        <v>109</v>
      </c>
      <c r="J381" t="s">
        <v>325</v>
      </c>
      <c r="Q381" s="17"/>
      <c r="R381">
        <v>109</v>
      </c>
    </row>
    <row r="382" spans="1:18">
      <c r="A382" t="s">
        <v>1677</v>
      </c>
      <c r="B382">
        <v>55</v>
      </c>
      <c r="D382" t="s">
        <v>2038</v>
      </c>
      <c r="E382" s="16">
        <v>8050846001947</v>
      </c>
      <c r="F382">
        <v>2</v>
      </c>
      <c r="H382">
        <v>2</v>
      </c>
      <c r="I382">
        <v>37</v>
      </c>
      <c r="J382" t="s">
        <v>317</v>
      </c>
      <c r="K382" s="17">
        <v>8050846001947</v>
      </c>
      <c r="L382" t="s">
        <v>2039</v>
      </c>
      <c r="Q382" s="17">
        <v>8050846001947</v>
      </c>
      <c r="R382">
        <v>123</v>
      </c>
    </row>
    <row r="383" spans="1:18">
      <c r="A383" t="s">
        <v>1</v>
      </c>
      <c r="B383">
        <v>17</v>
      </c>
      <c r="D383" t="s">
        <v>2040</v>
      </c>
      <c r="E383" s="16">
        <v>8050846004573</v>
      </c>
      <c r="F383">
        <v>4</v>
      </c>
      <c r="H383">
        <v>1</v>
      </c>
      <c r="I383">
        <v>34</v>
      </c>
      <c r="J383" t="s">
        <v>325</v>
      </c>
      <c r="Q383" s="17">
        <v>8050846004573</v>
      </c>
      <c r="R383">
        <v>34</v>
      </c>
    </row>
    <row r="384" spans="1:18">
      <c r="A384" t="s">
        <v>1</v>
      </c>
      <c r="B384">
        <v>479</v>
      </c>
      <c r="D384" t="s">
        <v>2041</v>
      </c>
      <c r="E384" s="16">
        <v>8050846004566</v>
      </c>
      <c r="F384">
        <v>4</v>
      </c>
      <c r="H384">
        <v>1</v>
      </c>
      <c r="I384">
        <v>34</v>
      </c>
      <c r="J384" t="s">
        <v>325</v>
      </c>
      <c r="Q384" s="17">
        <v>8050846004566</v>
      </c>
      <c r="R384">
        <v>34</v>
      </c>
    </row>
    <row r="385" spans="1:18">
      <c r="A385" t="s">
        <v>1626</v>
      </c>
      <c r="B385">
        <v>76</v>
      </c>
      <c r="D385" t="s">
        <v>2042</v>
      </c>
      <c r="E385" s="16">
        <v>8050846002050</v>
      </c>
      <c r="F385">
        <v>2</v>
      </c>
      <c r="H385">
        <v>1</v>
      </c>
      <c r="I385">
        <v>99</v>
      </c>
      <c r="J385" t="s">
        <v>325</v>
      </c>
      <c r="Q385" s="17">
        <v>8050846002050</v>
      </c>
      <c r="R385">
        <v>99</v>
      </c>
    </row>
    <row r="386" spans="1:18">
      <c r="A386" t="s">
        <v>4</v>
      </c>
      <c r="B386">
        <v>55</v>
      </c>
      <c r="D386" t="s">
        <v>2043</v>
      </c>
      <c r="E386" s="16">
        <v>8050846003057</v>
      </c>
      <c r="F386">
        <v>2</v>
      </c>
      <c r="H386">
        <v>1</v>
      </c>
      <c r="I386">
        <v>48</v>
      </c>
      <c r="J386" t="s">
        <v>325</v>
      </c>
      <c r="Q386" s="17">
        <v>8050846003057</v>
      </c>
      <c r="R386">
        <v>48</v>
      </c>
    </row>
    <row r="387" spans="1:18">
      <c r="A387" t="s">
        <v>51</v>
      </c>
      <c r="B387">
        <v>55</v>
      </c>
      <c r="D387" t="s">
        <v>359</v>
      </c>
      <c r="E387" s="16">
        <v>8050846002586</v>
      </c>
      <c r="F387">
        <v>10</v>
      </c>
      <c r="H387">
        <v>1</v>
      </c>
      <c r="I387">
        <v>36</v>
      </c>
      <c r="J387" t="s">
        <v>325</v>
      </c>
      <c r="Q387" s="17">
        <v>8050846002586</v>
      </c>
      <c r="R387">
        <v>36</v>
      </c>
    </row>
    <row r="388" spans="1:18">
      <c r="A388" t="s">
        <v>54</v>
      </c>
      <c r="B388">
        <v>17</v>
      </c>
      <c r="D388" t="s">
        <v>2044</v>
      </c>
      <c r="E388" s="16">
        <v>8050846004306</v>
      </c>
      <c r="F388">
        <v>4</v>
      </c>
      <c r="H388">
        <v>1</v>
      </c>
      <c r="I388">
        <v>67</v>
      </c>
      <c r="J388" t="s">
        <v>325</v>
      </c>
      <c r="Q388" s="17">
        <v>8050846004306</v>
      </c>
      <c r="R388">
        <v>67</v>
      </c>
    </row>
    <row r="389" spans="1:18">
      <c r="A389" t="s">
        <v>86</v>
      </c>
      <c r="B389">
        <v>480</v>
      </c>
      <c r="D389" t="s">
        <v>2045</v>
      </c>
      <c r="E389" s="16">
        <v>8050846004146</v>
      </c>
      <c r="F389">
        <v>2</v>
      </c>
      <c r="H389">
        <v>1</v>
      </c>
      <c r="I389">
        <v>135</v>
      </c>
      <c r="J389" t="s">
        <v>325</v>
      </c>
      <c r="Q389" s="17">
        <v>8050846004146</v>
      </c>
      <c r="R389">
        <v>135</v>
      </c>
    </row>
    <row r="390" spans="1:18">
      <c r="A390" t="s">
        <v>114</v>
      </c>
      <c r="B390">
        <v>55</v>
      </c>
      <c r="D390" t="s">
        <v>2046</v>
      </c>
      <c r="E390" s="16" t="s">
        <v>2212</v>
      </c>
      <c r="F390">
        <v>2</v>
      </c>
      <c r="H390">
        <v>1</v>
      </c>
      <c r="I390">
        <v>94</v>
      </c>
      <c r="J390" t="s">
        <v>325</v>
      </c>
      <c r="Q390" s="17"/>
      <c r="R390">
        <v>94</v>
      </c>
    </row>
    <row r="391" spans="1:18">
      <c r="A391" t="s">
        <v>115</v>
      </c>
      <c r="B391">
        <v>55</v>
      </c>
      <c r="D391" t="s">
        <v>2047</v>
      </c>
      <c r="E391" s="16">
        <v>8050846002630</v>
      </c>
      <c r="F391">
        <v>6</v>
      </c>
      <c r="H391">
        <v>1</v>
      </c>
      <c r="I391">
        <v>33</v>
      </c>
      <c r="J391" t="s">
        <v>325</v>
      </c>
      <c r="Q391" s="17">
        <v>8050846002630</v>
      </c>
      <c r="R391">
        <v>33</v>
      </c>
    </row>
    <row r="392" spans="1:18">
      <c r="A392" t="s">
        <v>116</v>
      </c>
      <c r="B392">
        <v>55</v>
      </c>
      <c r="D392" t="s">
        <v>2048</v>
      </c>
      <c r="E392" s="16">
        <v>8050846002203</v>
      </c>
      <c r="F392">
        <v>2</v>
      </c>
      <c r="H392">
        <v>1</v>
      </c>
      <c r="I392">
        <v>109</v>
      </c>
      <c r="J392" t="s">
        <v>325</v>
      </c>
      <c r="Q392" s="17">
        <v>8050846002203</v>
      </c>
      <c r="R392">
        <v>109</v>
      </c>
    </row>
    <row r="393" spans="1:18">
      <c r="A393" t="s">
        <v>29</v>
      </c>
      <c r="B393">
        <v>76</v>
      </c>
      <c r="D393" t="s">
        <v>2049</v>
      </c>
      <c r="E393" s="16">
        <v>8050846002784</v>
      </c>
      <c r="F393">
        <v>2</v>
      </c>
      <c r="H393">
        <v>1</v>
      </c>
      <c r="I393">
        <v>159</v>
      </c>
      <c r="J393" t="s">
        <v>325</v>
      </c>
      <c r="Q393" s="17">
        <v>8050846002784</v>
      </c>
      <c r="R393">
        <v>159</v>
      </c>
    </row>
    <row r="394" spans="1:18">
      <c r="A394" t="s">
        <v>117</v>
      </c>
      <c r="B394">
        <v>61</v>
      </c>
      <c r="D394" t="s">
        <v>2050</v>
      </c>
      <c r="E394" s="16">
        <v>8050846004825</v>
      </c>
      <c r="F394">
        <v>2</v>
      </c>
      <c r="H394">
        <v>1</v>
      </c>
      <c r="I394">
        <v>140</v>
      </c>
      <c r="J394" t="s">
        <v>325</v>
      </c>
      <c r="Q394" s="17">
        <v>8050846004825</v>
      </c>
      <c r="R394">
        <v>140</v>
      </c>
    </row>
    <row r="395" spans="1:18">
      <c r="A395" t="s">
        <v>118</v>
      </c>
      <c r="B395">
        <v>475</v>
      </c>
      <c r="D395" t="s">
        <v>365</v>
      </c>
      <c r="E395" s="16">
        <v>8050846004436</v>
      </c>
      <c r="F395">
        <v>3</v>
      </c>
      <c r="H395">
        <v>1</v>
      </c>
      <c r="I395">
        <v>33</v>
      </c>
      <c r="J395" t="s">
        <v>325</v>
      </c>
      <c r="Q395" s="17">
        <v>8050846004436</v>
      </c>
      <c r="R395">
        <v>33</v>
      </c>
    </row>
    <row r="396" spans="1:18">
      <c r="A396" t="s">
        <v>118</v>
      </c>
      <c r="B396">
        <v>475</v>
      </c>
      <c r="D396" t="s">
        <v>365</v>
      </c>
      <c r="E396" s="16">
        <v>8050846004436</v>
      </c>
      <c r="F396">
        <v>3</v>
      </c>
      <c r="H396">
        <v>1</v>
      </c>
      <c r="I396">
        <v>33</v>
      </c>
      <c r="J396" t="s">
        <v>325</v>
      </c>
      <c r="Q396" s="17">
        <v>8050846004436</v>
      </c>
      <c r="R396">
        <v>33</v>
      </c>
    </row>
    <row r="397" spans="1:18">
      <c r="A397" t="s">
        <v>67</v>
      </c>
      <c r="B397">
        <v>500</v>
      </c>
      <c r="D397" t="s">
        <v>1836</v>
      </c>
      <c r="E397" s="16" t="s">
        <v>2211</v>
      </c>
      <c r="F397">
        <v>4</v>
      </c>
      <c r="H397">
        <v>0</v>
      </c>
    </row>
    <row r="398" spans="1:18">
      <c r="A398" t="s">
        <v>119</v>
      </c>
      <c r="B398">
        <v>36</v>
      </c>
      <c r="D398" t="s">
        <v>2051</v>
      </c>
      <c r="E398" s="16" t="s">
        <v>2212</v>
      </c>
      <c r="F398">
        <v>2</v>
      </c>
      <c r="H398">
        <v>1</v>
      </c>
      <c r="I398">
        <v>93</v>
      </c>
      <c r="J398" t="s">
        <v>325</v>
      </c>
      <c r="Q398" s="17"/>
      <c r="R398">
        <v>93</v>
      </c>
    </row>
    <row r="399" spans="1:18">
      <c r="A399" t="s">
        <v>9</v>
      </c>
      <c r="B399">
        <v>36</v>
      </c>
      <c r="D399" t="s">
        <v>367</v>
      </c>
      <c r="E399" s="16">
        <v>8050846002678</v>
      </c>
      <c r="F399">
        <v>3</v>
      </c>
      <c r="H399">
        <v>1</v>
      </c>
      <c r="I399">
        <v>20</v>
      </c>
      <c r="J399" t="s">
        <v>325</v>
      </c>
      <c r="Q399" s="17">
        <v>8050846002678</v>
      </c>
      <c r="R399">
        <v>20</v>
      </c>
    </row>
    <row r="400" spans="1:18">
      <c r="A400" t="s">
        <v>46</v>
      </c>
      <c r="B400">
        <v>17</v>
      </c>
      <c r="D400" t="s">
        <v>1782</v>
      </c>
      <c r="E400" s="16">
        <v>8050846004504</v>
      </c>
      <c r="F400">
        <v>6</v>
      </c>
      <c r="H400">
        <v>1</v>
      </c>
      <c r="I400">
        <v>20</v>
      </c>
      <c r="J400" t="s">
        <v>325</v>
      </c>
      <c r="Q400" s="17">
        <v>8050846004504</v>
      </c>
      <c r="R400">
        <v>20</v>
      </c>
    </row>
    <row r="401" spans="1:18">
      <c r="A401" t="s">
        <v>48</v>
      </c>
      <c r="B401">
        <v>479</v>
      </c>
      <c r="D401" t="s">
        <v>2052</v>
      </c>
      <c r="E401" s="16">
        <v>8050846005587</v>
      </c>
      <c r="F401">
        <v>3</v>
      </c>
      <c r="H401">
        <v>1</v>
      </c>
      <c r="I401">
        <v>49</v>
      </c>
      <c r="J401" t="s">
        <v>325</v>
      </c>
      <c r="Q401" s="17">
        <v>8050846005587</v>
      </c>
      <c r="R401">
        <v>49</v>
      </c>
    </row>
    <row r="402" spans="1:18">
      <c r="A402" t="s">
        <v>50</v>
      </c>
      <c r="B402">
        <v>76</v>
      </c>
      <c r="D402" t="s">
        <v>2053</v>
      </c>
      <c r="E402" s="16">
        <v>8050846003323</v>
      </c>
      <c r="F402">
        <v>3</v>
      </c>
      <c r="H402">
        <v>1</v>
      </c>
      <c r="I402">
        <v>7</v>
      </c>
      <c r="J402" t="s">
        <v>325</v>
      </c>
      <c r="Q402" s="17">
        <v>8050846003323</v>
      </c>
      <c r="R402">
        <v>7</v>
      </c>
    </row>
    <row r="403" spans="1:18">
      <c r="A403" t="s">
        <v>70</v>
      </c>
      <c r="B403">
        <v>55</v>
      </c>
      <c r="D403" t="s">
        <v>2054</v>
      </c>
      <c r="E403" s="16">
        <v>8050846002272</v>
      </c>
      <c r="F403">
        <v>2</v>
      </c>
      <c r="H403">
        <v>1</v>
      </c>
      <c r="I403">
        <v>114</v>
      </c>
      <c r="J403" t="s">
        <v>325</v>
      </c>
      <c r="Q403" s="17">
        <v>8050846002272</v>
      </c>
      <c r="R403">
        <v>114</v>
      </c>
    </row>
    <row r="404" spans="1:18">
      <c r="A404" t="s">
        <v>8</v>
      </c>
      <c r="B404">
        <v>76</v>
      </c>
      <c r="D404" t="s">
        <v>2055</v>
      </c>
      <c r="E404" s="16">
        <v>8050846002715</v>
      </c>
      <c r="F404">
        <v>2</v>
      </c>
      <c r="H404">
        <v>1</v>
      </c>
      <c r="I404">
        <v>158</v>
      </c>
      <c r="J404" t="s">
        <v>325</v>
      </c>
      <c r="Q404" s="17">
        <v>8050846002715</v>
      </c>
      <c r="R404">
        <v>158</v>
      </c>
    </row>
    <row r="405" spans="1:18">
      <c r="A405" t="s">
        <v>50</v>
      </c>
      <c r="B405">
        <v>422</v>
      </c>
      <c r="D405" t="s">
        <v>2056</v>
      </c>
      <c r="E405" s="16">
        <v>8050846003347</v>
      </c>
      <c r="F405">
        <v>3</v>
      </c>
      <c r="H405">
        <v>1</v>
      </c>
      <c r="I405">
        <v>7</v>
      </c>
      <c r="J405" t="s">
        <v>325</v>
      </c>
      <c r="Q405" s="17">
        <v>8050846003347</v>
      </c>
      <c r="R405">
        <v>7</v>
      </c>
    </row>
    <row r="406" spans="1:18">
      <c r="A406" t="s">
        <v>31</v>
      </c>
      <c r="B406">
        <v>422</v>
      </c>
      <c r="D406" t="s">
        <v>2057</v>
      </c>
      <c r="E406" s="16">
        <v>8050846002265</v>
      </c>
      <c r="F406">
        <v>2</v>
      </c>
      <c r="H406">
        <v>1</v>
      </c>
      <c r="I406">
        <v>114</v>
      </c>
      <c r="J406" t="s">
        <v>325</v>
      </c>
      <c r="Q406" s="17">
        <v>8050846002265</v>
      </c>
      <c r="R406">
        <v>114</v>
      </c>
    </row>
    <row r="407" spans="1:18">
      <c r="A407" t="s">
        <v>1677</v>
      </c>
      <c r="B407">
        <v>8</v>
      </c>
      <c r="D407" t="s">
        <v>2058</v>
      </c>
      <c r="E407" s="16">
        <v>8050846001930</v>
      </c>
      <c r="F407">
        <v>2</v>
      </c>
      <c r="H407">
        <v>2</v>
      </c>
      <c r="I407">
        <v>37</v>
      </c>
      <c r="J407" t="s">
        <v>317</v>
      </c>
      <c r="K407" s="17">
        <v>8050846001930</v>
      </c>
      <c r="L407" t="s">
        <v>2039</v>
      </c>
      <c r="Q407" s="17">
        <v>8050846001930</v>
      </c>
      <c r="R407">
        <v>123</v>
      </c>
    </row>
    <row r="408" spans="1:18">
      <c r="A408" t="s">
        <v>6</v>
      </c>
      <c r="B408">
        <v>36</v>
      </c>
      <c r="D408" t="s">
        <v>2059</v>
      </c>
      <c r="E408" s="16">
        <v>8050846002456</v>
      </c>
      <c r="F408">
        <v>2</v>
      </c>
      <c r="H408">
        <v>1</v>
      </c>
      <c r="I408">
        <v>131</v>
      </c>
      <c r="J408" t="s">
        <v>325</v>
      </c>
      <c r="Q408" s="17">
        <v>8050846002456</v>
      </c>
      <c r="R408">
        <v>131</v>
      </c>
    </row>
    <row r="409" spans="1:18">
      <c r="A409" t="s">
        <v>54</v>
      </c>
      <c r="B409">
        <v>76</v>
      </c>
      <c r="D409" t="s">
        <v>2060</v>
      </c>
      <c r="E409" s="16">
        <v>8050846002531</v>
      </c>
      <c r="F409">
        <v>6</v>
      </c>
      <c r="H409">
        <v>1</v>
      </c>
      <c r="I409">
        <v>67</v>
      </c>
      <c r="J409" t="s">
        <v>325</v>
      </c>
      <c r="Q409" s="17">
        <v>8050846002531</v>
      </c>
      <c r="R409">
        <v>67</v>
      </c>
    </row>
    <row r="410" spans="1:18">
      <c r="A410" t="s">
        <v>19</v>
      </c>
      <c r="B410">
        <v>17</v>
      </c>
      <c r="D410" t="s">
        <v>2061</v>
      </c>
      <c r="E410" s="16" t="s">
        <v>2212</v>
      </c>
      <c r="F410">
        <v>3</v>
      </c>
      <c r="H410">
        <v>1</v>
      </c>
      <c r="I410">
        <v>160</v>
      </c>
      <c r="J410" t="s">
        <v>325</v>
      </c>
      <c r="Q410" s="17"/>
      <c r="R410">
        <v>160</v>
      </c>
    </row>
    <row r="411" spans="1:18">
      <c r="A411" t="s">
        <v>19</v>
      </c>
      <c r="B411">
        <v>36</v>
      </c>
      <c r="D411" t="s">
        <v>2062</v>
      </c>
      <c r="E411" s="16" t="s">
        <v>2212</v>
      </c>
      <c r="F411">
        <v>3</v>
      </c>
      <c r="H411">
        <v>1</v>
      </c>
      <c r="I411">
        <v>160</v>
      </c>
      <c r="J411" t="s">
        <v>325</v>
      </c>
      <c r="Q411" s="17"/>
      <c r="R411">
        <v>160</v>
      </c>
    </row>
    <row r="412" spans="1:18">
      <c r="A412" t="s">
        <v>82</v>
      </c>
      <c r="B412">
        <v>55</v>
      </c>
      <c r="D412" t="s">
        <v>2063</v>
      </c>
      <c r="E412" s="16" t="s">
        <v>2212</v>
      </c>
      <c r="F412">
        <v>3</v>
      </c>
      <c r="H412">
        <v>1</v>
      </c>
      <c r="I412">
        <v>167</v>
      </c>
      <c r="J412" t="s">
        <v>325</v>
      </c>
      <c r="Q412" s="17"/>
      <c r="R412">
        <v>167</v>
      </c>
    </row>
    <row r="413" spans="1:18">
      <c r="A413" t="s">
        <v>83</v>
      </c>
      <c r="B413">
        <v>76</v>
      </c>
      <c r="D413" t="s">
        <v>2064</v>
      </c>
      <c r="E413" s="16" t="s">
        <v>2212</v>
      </c>
      <c r="F413">
        <v>3</v>
      </c>
      <c r="H413">
        <v>1</v>
      </c>
      <c r="I413">
        <v>167</v>
      </c>
      <c r="J413" t="s">
        <v>325</v>
      </c>
      <c r="Q413" s="17"/>
      <c r="R413">
        <v>167</v>
      </c>
    </row>
    <row r="414" spans="1:18">
      <c r="A414" t="s">
        <v>56</v>
      </c>
      <c r="B414">
        <v>55</v>
      </c>
      <c r="D414" t="s">
        <v>2065</v>
      </c>
      <c r="E414" s="16">
        <v>8050846007833</v>
      </c>
      <c r="F414">
        <v>3</v>
      </c>
      <c r="H414">
        <v>1</v>
      </c>
      <c r="I414">
        <v>183</v>
      </c>
      <c r="J414" t="s">
        <v>325</v>
      </c>
      <c r="Q414" s="17">
        <v>8050846007833</v>
      </c>
      <c r="R414">
        <v>183</v>
      </c>
    </row>
    <row r="415" spans="1:18">
      <c r="A415" t="s">
        <v>1680</v>
      </c>
      <c r="B415">
        <v>488</v>
      </c>
      <c r="D415" t="s">
        <v>2066</v>
      </c>
      <c r="E415" s="16" t="s">
        <v>2211</v>
      </c>
      <c r="F415">
        <v>3</v>
      </c>
      <c r="H415">
        <v>0</v>
      </c>
    </row>
    <row r="416" spans="1:18">
      <c r="A416" t="s">
        <v>13</v>
      </c>
      <c r="B416">
        <v>17</v>
      </c>
      <c r="D416" t="s">
        <v>2067</v>
      </c>
      <c r="E416" s="16">
        <v>8050846003774</v>
      </c>
      <c r="F416">
        <v>2</v>
      </c>
      <c r="H416">
        <v>1</v>
      </c>
      <c r="I416">
        <v>101</v>
      </c>
      <c r="J416" t="s">
        <v>325</v>
      </c>
      <c r="Q416" s="17">
        <v>8050846003774</v>
      </c>
      <c r="R416">
        <v>101</v>
      </c>
    </row>
    <row r="417" spans="1:18">
      <c r="A417" t="s">
        <v>18</v>
      </c>
      <c r="B417">
        <v>17</v>
      </c>
      <c r="D417" t="s">
        <v>2068</v>
      </c>
      <c r="E417" s="16">
        <v>8050846004610</v>
      </c>
      <c r="F417">
        <v>2</v>
      </c>
      <c r="H417">
        <v>1</v>
      </c>
      <c r="I417">
        <v>142</v>
      </c>
      <c r="J417" t="s">
        <v>325</v>
      </c>
      <c r="Q417" s="17">
        <v>8050846004610</v>
      </c>
      <c r="R417">
        <v>142</v>
      </c>
    </row>
    <row r="418" spans="1:18">
      <c r="A418" t="s">
        <v>88</v>
      </c>
      <c r="B418">
        <v>75</v>
      </c>
      <c r="D418" t="s">
        <v>2069</v>
      </c>
      <c r="E418" s="16" t="s">
        <v>2211</v>
      </c>
      <c r="F418">
        <v>2</v>
      </c>
      <c r="H418">
        <v>0</v>
      </c>
    </row>
    <row r="419" spans="1:18">
      <c r="A419" t="s">
        <v>1614</v>
      </c>
      <c r="B419">
        <v>72</v>
      </c>
      <c r="D419" t="s">
        <v>2070</v>
      </c>
      <c r="E419" s="16">
        <v>8050846004979</v>
      </c>
      <c r="F419">
        <v>2</v>
      </c>
      <c r="H419">
        <v>1</v>
      </c>
      <c r="I419">
        <v>104</v>
      </c>
      <c r="J419" t="s">
        <v>325</v>
      </c>
      <c r="Q419" s="17">
        <v>8050846004979</v>
      </c>
      <c r="R419">
        <v>104</v>
      </c>
    </row>
    <row r="420" spans="1:18">
      <c r="A420" t="s">
        <v>32</v>
      </c>
      <c r="B420">
        <v>479</v>
      </c>
      <c r="D420" t="s">
        <v>1738</v>
      </c>
      <c r="E420" s="16">
        <v>8050846005310</v>
      </c>
      <c r="F420">
        <v>6</v>
      </c>
      <c r="H420">
        <v>1</v>
      </c>
      <c r="I420">
        <v>35</v>
      </c>
      <c r="J420" t="s">
        <v>325</v>
      </c>
      <c r="Q420" s="17">
        <v>8050846005310</v>
      </c>
      <c r="R420">
        <v>35</v>
      </c>
    </row>
    <row r="421" spans="1:18">
      <c r="A421" t="s">
        <v>1</v>
      </c>
      <c r="B421">
        <v>483</v>
      </c>
      <c r="D421" t="s">
        <v>2071</v>
      </c>
      <c r="E421" s="16" t="s">
        <v>2212</v>
      </c>
      <c r="F421">
        <v>4</v>
      </c>
      <c r="H421">
        <v>1</v>
      </c>
      <c r="I421">
        <v>34</v>
      </c>
      <c r="J421" t="s">
        <v>325</v>
      </c>
      <c r="Q421" s="17"/>
      <c r="R421">
        <v>34</v>
      </c>
    </row>
    <row r="422" spans="1:18">
      <c r="A422" t="s">
        <v>54</v>
      </c>
      <c r="B422">
        <v>26</v>
      </c>
      <c r="D422" t="s">
        <v>2072</v>
      </c>
      <c r="E422" s="16">
        <v>8050846004320</v>
      </c>
      <c r="F422">
        <v>6</v>
      </c>
      <c r="H422">
        <v>1</v>
      </c>
      <c r="I422">
        <v>67</v>
      </c>
      <c r="J422" t="s">
        <v>325</v>
      </c>
      <c r="Q422" s="17">
        <v>8050846004320</v>
      </c>
      <c r="R422">
        <v>67</v>
      </c>
    </row>
    <row r="423" spans="1:18">
      <c r="A423" t="s">
        <v>21</v>
      </c>
      <c r="B423">
        <v>78</v>
      </c>
      <c r="D423" t="s">
        <v>2073</v>
      </c>
      <c r="E423" s="16">
        <v>8051770308669</v>
      </c>
      <c r="F423">
        <v>1</v>
      </c>
      <c r="H423">
        <v>2</v>
      </c>
      <c r="I423">
        <v>4</v>
      </c>
      <c r="J423" t="s">
        <v>317</v>
      </c>
      <c r="K423" s="17">
        <v>8051770308669</v>
      </c>
      <c r="L423" t="s">
        <v>1807</v>
      </c>
      <c r="O423" s="17"/>
      <c r="P423">
        <v>4</v>
      </c>
    </row>
    <row r="424" spans="1:18">
      <c r="A424" t="s">
        <v>21</v>
      </c>
      <c r="B424">
        <v>55</v>
      </c>
      <c r="D424" t="s">
        <v>2074</v>
      </c>
      <c r="E424" s="16">
        <v>8051770308638</v>
      </c>
      <c r="F424">
        <v>1</v>
      </c>
      <c r="H424">
        <v>2</v>
      </c>
      <c r="I424">
        <v>4</v>
      </c>
      <c r="J424" t="s">
        <v>317</v>
      </c>
      <c r="K424" s="17">
        <v>8051770308638</v>
      </c>
      <c r="L424" t="s">
        <v>1807</v>
      </c>
      <c r="O424" s="17"/>
      <c r="P424">
        <v>4</v>
      </c>
    </row>
    <row r="425" spans="1:18">
      <c r="A425" t="s">
        <v>26</v>
      </c>
      <c r="B425">
        <v>133</v>
      </c>
      <c r="D425" t="s">
        <v>338</v>
      </c>
      <c r="E425" s="16" t="s">
        <v>2212</v>
      </c>
      <c r="F425">
        <v>1</v>
      </c>
      <c r="H425">
        <v>1</v>
      </c>
      <c r="I425">
        <v>5</v>
      </c>
      <c r="J425" t="s">
        <v>324</v>
      </c>
      <c r="O425" s="17"/>
      <c r="P425">
        <v>5</v>
      </c>
    </row>
    <row r="426" spans="1:18">
      <c r="A426" t="s">
        <v>23</v>
      </c>
      <c r="B426">
        <v>17</v>
      </c>
      <c r="D426" t="s">
        <v>2075</v>
      </c>
      <c r="E426" s="16">
        <v>8058983596401</v>
      </c>
      <c r="F426">
        <v>1</v>
      </c>
      <c r="H426">
        <v>1</v>
      </c>
      <c r="I426">
        <v>7</v>
      </c>
      <c r="J426" t="s">
        <v>324</v>
      </c>
      <c r="O426" s="17">
        <v>8058983596401</v>
      </c>
      <c r="P426">
        <v>7</v>
      </c>
    </row>
    <row r="427" spans="1:18">
      <c r="A427" t="s">
        <v>23</v>
      </c>
      <c r="B427">
        <v>78</v>
      </c>
      <c r="D427" t="s">
        <v>340</v>
      </c>
      <c r="E427" s="16" t="s">
        <v>2212</v>
      </c>
      <c r="F427">
        <v>1</v>
      </c>
      <c r="H427">
        <v>1</v>
      </c>
      <c r="I427">
        <v>7</v>
      </c>
      <c r="J427" t="s">
        <v>324</v>
      </c>
      <c r="O427" s="17"/>
      <c r="P427">
        <v>7</v>
      </c>
    </row>
    <row r="428" spans="1:18">
      <c r="A428" t="s">
        <v>24</v>
      </c>
      <c r="B428">
        <v>76</v>
      </c>
      <c r="D428" t="s">
        <v>343</v>
      </c>
      <c r="E428" s="16">
        <v>8056099178863</v>
      </c>
      <c r="F428">
        <v>3</v>
      </c>
      <c r="H428">
        <v>1</v>
      </c>
      <c r="I428">
        <v>16</v>
      </c>
      <c r="J428" t="s">
        <v>325</v>
      </c>
      <c r="Q428" s="17">
        <v>8056099178863</v>
      </c>
      <c r="R428">
        <v>16</v>
      </c>
    </row>
    <row r="429" spans="1:18">
      <c r="A429" t="s">
        <v>21</v>
      </c>
      <c r="B429">
        <v>75</v>
      </c>
      <c r="D429" t="s">
        <v>2076</v>
      </c>
      <c r="E429" s="16">
        <v>8050450217581</v>
      </c>
      <c r="F429">
        <v>3</v>
      </c>
      <c r="H429">
        <v>1</v>
      </c>
      <c r="I429">
        <v>4</v>
      </c>
      <c r="J429" t="s">
        <v>325</v>
      </c>
      <c r="Q429" s="17">
        <v>8050450217581</v>
      </c>
      <c r="R429">
        <v>4</v>
      </c>
    </row>
    <row r="430" spans="1:18">
      <c r="A430" t="s">
        <v>24</v>
      </c>
      <c r="B430">
        <v>71</v>
      </c>
      <c r="D430" t="s">
        <v>2077</v>
      </c>
      <c r="E430" s="16">
        <v>8051770309673</v>
      </c>
      <c r="F430">
        <v>1</v>
      </c>
      <c r="H430">
        <v>2</v>
      </c>
      <c r="I430">
        <v>9</v>
      </c>
      <c r="J430" t="s">
        <v>317</v>
      </c>
      <c r="K430" s="17">
        <v>8051770309673</v>
      </c>
      <c r="L430" t="s">
        <v>342</v>
      </c>
      <c r="O430" s="17"/>
      <c r="P430">
        <v>10</v>
      </c>
    </row>
    <row r="431" spans="1:18">
      <c r="A431" t="s">
        <v>1603</v>
      </c>
      <c r="B431">
        <v>422</v>
      </c>
      <c r="D431" t="s">
        <v>2078</v>
      </c>
      <c r="E431" s="16" t="s">
        <v>2212</v>
      </c>
      <c r="F431">
        <v>2</v>
      </c>
      <c r="H431">
        <v>1</v>
      </c>
      <c r="I431">
        <v>146</v>
      </c>
      <c r="J431" t="s">
        <v>325</v>
      </c>
      <c r="Q431" s="17"/>
      <c r="R431">
        <v>146</v>
      </c>
    </row>
    <row r="432" spans="1:18">
      <c r="A432" t="s">
        <v>22</v>
      </c>
      <c r="B432">
        <v>371</v>
      </c>
      <c r="D432" t="s">
        <v>2079</v>
      </c>
      <c r="E432" s="16" t="s">
        <v>2212</v>
      </c>
      <c r="F432">
        <v>1</v>
      </c>
      <c r="H432">
        <v>1</v>
      </c>
      <c r="I432">
        <v>6</v>
      </c>
      <c r="J432" t="s">
        <v>324</v>
      </c>
      <c r="O432" s="17"/>
      <c r="P432">
        <v>6</v>
      </c>
    </row>
    <row r="433" spans="1:18">
      <c r="A433" t="s">
        <v>26</v>
      </c>
      <c r="B433">
        <v>26</v>
      </c>
      <c r="D433" t="s">
        <v>2080</v>
      </c>
      <c r="E433" s="16">
        <v>8050846006560</v>
      </c>
      <c r="F433">
        <v>3</v>
      </c>
      <c r="H433">
        <v>1</v>
      </c>
      <c r="I433">
        <v>6</v>
      </c>
      <c r="J433" t="s">
        <v>325</v>
      </c>
      <c r="Q433" s="17">
        <v>8050846006560</v>
      </c>
      <c r="R433">
        <v>6</v>
      </c>
    </row>
    <row r="434" spans="1:18">
      <c r="A434" t="s">
        <v>1603</v>
      </c>
      <c r="B434">
        <v>347</v>
      </c>
      <c r="D434" t="s">
        <v>2081</v>
      </c>
      <c r="E434" s="16" t="s">
        <v>2212</v>
      </c>
      <c r="F434">
        <v>2</v>
      </c>
      <c r="H434">
        <v>1</v>
      </c>
      <c r="I434">
        <v>146</v>
      </c>
      <c r="J434" t="s">
        <v>325</v>
      </c>
      <c r="Q434" s="17"/>
      <c r="R434">
        <v>146</v>
      </c>
    </row>
    <row r="435" spans="1:18">
      <c r="A435" t="s">
        <v>120</v>
      </c>
      <c r="B435">
        <v>480</v>
      </c>
      <c r="D435" t="s">
        <v>2082</v>
      </c>
      <c r="E435" s="16" t="s">
        <v>2212</v>
      </c>
      <c r="F435">
        <v>2</v>
      </c>
      <c r="H435">
        <v>1</v>
      </c>
      <c r="I435">
        <v>77</v>
      </c>
      <c r="J435" t="s">
        <v>325</v>
      </c>
      <c r="Q435" s="17"/>
      <c r="R435">
        <v>77</v>
      </c>
    </row>
    <row r="436" spans="1:18">
      <c r="A436" t="s">
        <v>21</v>
      </c>
      <c r="B436">
        <v>484</v>
      </c>
      <c r="D436" t="s">
        <v>2083</v>
      </c>
      <c r="E436" s="16">
        <v>8050846016552</v>
      </c>
      <c r="F436">
        <v>3</v>
      </c>
      <c r="H436">
        <v>1</v>
      </c>
      <c r="I436">
        <v>4</v>
      </c>
      <c r="J436" t="s">
        <v>325</v>
      </c>
      <c r="Q436" s="17">
        <v>8050846016552</v>
      </c>
      <c r="R436">
        <v>4</v>
      </c>
    </row>
    <row r="437" spans="1:18">
      <c r="A437" t="s">
        <v>121</v>
      </c>
      <c r="B437">
        <v>17</v>
      </c>
      <c r="D437" t="s">
        <v>2084</v>
      </c>
      <c r="E437" s="16">
        <v>8050846004733</v>
      </c>
      <c r="F437">
        <v>2</v>
      </c>
      <c r="H437">
        <v>1</v>
      </c>
      <c r="I437">
        <v>153</v>
      </c>
      <c r="J437" t="s">
        <v>325</v>
      </c>
      <c r="Q437" s="17">
        <v>8050846004733</v>
      </c>
      <c r="R437">
        <v>153</v>
      </c>
    </row>
    <row r="438" spans="1:18">
      <c r="A438" t="s">
        <v>109</v>
      </c>
      <c r="B438">
        <v>480</v>
      </c>
      <c r="D438" t="s">
        <v>2085</v>
      </c>
      <c r="E438" s="16">
        <v>8050846003828</v>
      </c>
      <c r="F438">
        <v>2</v>
      </c>
      <c r="H438">
        <v>1</v>
      </c>
      <c r="I438">
        <v>102</v>
      </c>
      <c r="J438" t="s">
        <v>325</v>
      </c>
      <c r="Q438" s="17">
        <v>8050846003828</v>
      </c>
      <c r="R438">
        <v>102</v>
      </c>
    </row>
    <row r="439" spans="1:18">
      <c r="A439" t="s">
        <v>122</v>
      </c>
      <c r="B439">
        <v>227</v>
      </c>
      <c r="D439" t="s">
        <v>2086</v>
      </c>
      <c r="E439" s="16">
        <v>8050846002173</v>
      </c>
      <c r="F439">
        <v>2</v>
      </c>
      <c r="H439">
        <v>1</v>
      </c>
      <c r="I439">
        <v>108</v>
      </c>
      <c r="J439" t="s">
        <v>325</v>
      </c>
      <c r="Q439" s="17">
        <v>8050846002173</v>
      </c>
      <c r="R439">
        <v>108</v>
      </c>
    </row>
    <row r="440" spans="1:18">
      <c r="A440" t="s">
        <v>123</v>
      </c>
      <c r="B440">
        <v>254</v>
      </c>
      <c r="D440" t="s">
        <v>2087</v>
      </c>
      <c r="E440" s="16">
        <v>8050846003804</v>
      </c>
      <c r="F440">
        <v>3</v>
      </c>
      <c r="H440">
        <v>1</v>
      </c>
      <c r="I440">
        <v>101</v>
      </c>
      <c r="J440" t="s">
        <v>325</v>
      </c>
      <c r="Q440" s="17">
        <v>8050846003804</v>
      </c>
      <c r="R440">
        <v>101</v>
      </c>
    </row>
    <row r="441" spans="1:18">
      <c r="A441" t="s">
        <v>70</v>
      </c>
      <c r="B441">
        <v>76</v>
      </c>
      <c r="D441" t="s">
        <v>2088</v>
      </c>
      <c r="E441" s="16">
        <v>8050846002289</v>
      </c>
      <c r="F441">
        <v>2</v>
      </c>
      <c r="H441">
        <v>1</v>
      </c>
      <c r="I441">
        <v>114</v>
      </c>
      <c r="J441" t="s">
        <v>325</v>
      </c>
      <c r="Q441" s="17">
        <v>8050846002289</v>
      </c>
      <c r="R441">
        <v>114</v>
      </c>
    </row>
    <row r="442" spans="1:18">
      <c r="A442" t="s">
        <v>73</v>
      </c>
      <c r="B442">
        <v>75</v>
      </c>
      <c r="D442" t="s">
        <v>2089</v>
      </c>
      <c r="E442" s="16">
        <v>8050846005532</v>
      </c>
      <c r="F442">
        <v>3</v>
      </c>
      <c r="H442">
        <v>1</v>
      </c>
      <c r="I442">
        <v>49</v>
      </c>
      <c r="J442" t="s">
        <v>325</v>
      </c>
      <c r="Q442" s="17">
        <v>8050846005532</v>
      </c>
      <c r="R442">
        <v>49</v>
      </c>
    </row>
    <row r="443" spans="1:18">
      <c r="A443" t="s">
        <v>124</v>
      </c>
      <c r="B443">
        <v>475</v>
      </c>
      <c r="D443" t="s">
        <v>2090</v>
      </c>
      <c r="E443" s="16">
        <v>8050846004696</v>
      </c>
      <c r="F443">
        <v>2</v>
      </c>
      <c r="H443">
        <v>1</v>
      </c>
      <c r="I443">
        <v>151</v>
      </c>
      <c r="J443" t="s">
        <v>325</v>
      </c>
      <c r="Q443" s="17">
        <v>8050846004696</v>
      </c>
      <c r="R443">
        <v>151</v>
      </c>
    </row>
    <row r="444" spans="1:18">
      <c r="A444" t="s">
        <v>51</v>
      </c>
      <c r="B444">
        <v>55</v>
      </c>
      <c r="D444" t="s">
        <v>359</v>
      </c>
      <c r="E444" s="16">
        <v>8050846002586</v>
      </c>
      <c r="F444">
        <v>5</v>
      </c>
      <c r="H444">
        <v>1</v>
      </c>
      <c r="I444">
        <v>36</v>
      </c>
      <c r="J444" t="s">
        <v>325</v>
      </c>
      <c r="Q444" s="17">
        <v>8050846002586</v>
      </c>
      <c r="R444">
        <v>36</v>
      </c>
    </row>
    <row r="445" spans="1:18">
      <c r="A445" t="s">
        <v>125</v>
      </c>
      <c r="B445">
        <v>8</v>
      </c>
      <c r="D445" t="s">
        <v>2091</v>
      </c>
      <c r="E445" s="16" t="s">
        <v>2212</v>
      </c>
      <c r="F445">
        <v>2</v>
      </c>
      <c r="H445">
        <v>1</v>
      </c>
      <c r="I445">
        <v>96</v>
      </c>
      <c r="J445" t="s">
        <v>325</v>
      </c>
      <c r="Q445" s="17"/>
      <c r="R445">
        <v>96</v>
      </c>
    </row>
    <row r="446" spans="1:18">
      <c r="A446" t="s">
        <v>126</v>
      </c>
      <c r="B446">
        <v>8</v>
      </c>
      <c r="D446" t="s">
        <v>2092</v>
      </c>
      <c r="E446" s="16">
        <v>8050846005105</v>
      </c>
      <c r="F446">
        <v>2</v>
      </c>
      <c r="H446">
        <v>1</v>
      </c>
      <c r="I446">
        <v>119</v>
      </c>
      <c r="J446" t="s">
        <v>325</v>
      </c>
      <c r="Q446" s="17">
        <v>8050846005105</v>
      </c>
      <c r="R446">
        <v>119</v>
      </c>
    </row>
    <row r="447" spans="1:18">
      <c r="A447" t="s">
        <v>6</v>
      </c>
      <c r="B447">
        <v>76</v>
      </c>
      <c r="D447" t="s">
        <v>2093</v>
      </c>
      <c r="E447" s="16">
        <v>8050846002449</v>
      </c>
      <c r="F447">
        <v>2</v>
      </c>
      <c r="H447">
        <v>1</v>
      </c>
      <c r="I447">
        <v>131</v>
      </c>
      <c r="J447" t="s">
        <v>325</v>
      </c>
      <c r="Q447" s="17">
        <v>8050846002449</v>
      </c>
      <c r="R447">
        <v>131</v>
      </c>
    </row>
    <row r="448" spans="1:18">
      <c r="A448" t="s">
        <v>58</v>
      </c>
      <c r="B448">
        <v>130</v>
      </c>
      <c r="D448" t="s">
        <v>2094</v>
      </c>
      <c r="E448" s="16" t="s">
        <v>2212</v>
      </c>
      <c r="F448">
        <v>2</v>
      </c>
      <c r="H448">
        <v>1</v>
      </c>
      <c r="I448">
        <v>94</v>
      </c>
      <c r="J448" t="s">
        <v>325</v>
      </c>
      <c r="Q448" s="17"/>
      <c r="R448">
        <v>94</v>
      </c>
    </row>
    <row r="449" spans="1:18">
      <c r="A449" t="s">
        <v>104</v>
      </c>
      <c r="B449">
        <v>72</v>
      </c>
      <c r="D449" t="s">
        <v>2095</v>
      </c>
      <c r="E449" s="16">
        <v>8050846004849</v>
      </c>
      <c r="F449">
        <v>2</v>
      </c>
      <c r="H449">
        <v>1</v>
      </c>
      <c r="I449">
        <v>141</v>
      </c>
      <c r="J449" t="s">
        <v>325</v>
      </c>
      <c r="Q449" s="17">
        <v>8050846004849</v>
      </c>
      <c r="R449">
        <v>141</v>
      </c>
    </row>
    <row r="450" spans="1:18">
      <c r="A450" t="s">
        <v>119</v>
      </c>
      <c r="B450">
        <v>76</v>
      </c>
      <c r="D450" t="s">
        <v>2096</v>
      </c>
      <c r="E450" s="16" t="s">
        <v>2212</v>
      </c>
      <c r="F450">
        <v>2</v>
      </c>
      <c r="H450">
        <v>1</v>
      </c>
      <c r="I450">
        <v>93</v>
      </c>
      <c r="J450" t="s">
        <v>325</v>
      </c>
      <c r="Q450" s="17"/>
      <c r="R450">
        <v>93</v>
      </c>
    </row>
    <row r="451" spans="1:18">
      <c r="A451" t="s">
        <v>1672</v>
      </c>
      <c r="B451">
        <v>17</v>
      </c>
      <c r="D451" t="s">
        <v>1988</v>
      </c>
      <c r="E451" s="16">
        <v>8050846003842</v>
      </c>
      <c r="F451">
        <v>2</v>
      </c>
      <c r="H451">
        <v>1</v>
      </c>
      <c r="I451">
        <v>102</v>
      </c>
      <c r="J451" t="s">
        <v>325</v>
      </c>
      <c r="Q451" s="17">
        <v>8050846003842</v>
      </c>
      <c r="R451">
        <v>102</v>
      </c>
    </row>
    <row r="452" spans="1:18">
      <c r="A452" t="s">
        <v>29</v>
      </c>
      <c r="B452">
        <v>26</v>
      </c>
      <c r="D452" t="s">
        <v>2097</v>
      </c>
      <c r="E452" s="16">
        <v>8050846004337</v>
      </c>
      <c r="F452">
        <v>3</v>
      </c>
      <c r="H452">
        <v>1</v>
      </c>
      <c r="I452">
        <v>159</v>
      </c>
      <c r="J452" t="s">
        <v>325</v>
      </c>
      <c r="Q452" s="17">
        <v>8050846004337</v>
      </c>
      <c r="R452">
        <v>159</v>
      </c>
    </row>
    <row r="453" spans="1:18">
      <c r="A453" t="s">
        <v>128</v>
      </c>
      <c r="B453">
        <v>61</v>
      </c>
      <c r="D453" t="s">
        <v>2098</v>
      </c>
      <c r="E453" s="16">
        <v>8050846005150</v>
      </c>
      <c r="F453">
        <v>2</v>
      </c>
      <c r="H453">
        <v>1</v>
      </c>
      <c r="I453">
        <v>136</v>
      </c>
      <c r="J453" t="s">
        <v>325</v>
      </c>
      <c r="Q453" s="17">
        <v>8050846005150</v>
      </c>
      <c r="R453">
        <v>136</v>
      </c>
    </row>
    <row r="454" spans="1:18">
      <c r="A454" t="s">
        <v>129</v>
      </c>
      <c r="B454">
        <v>125</v>
      </c>
      <c r="D454" t="s">
        <v>2099</v>
      </c>
      <c r="E454" s="16" t="s">
        <v>2212</v>
      </c>
      <c r="F454">
        <v>2</v>
      </c>
      <c r="H454">
        <v>1</v>
      </c>
      <c r="I454">
        <v>96</v>
      </c>
      <c r="J454" t="s">
        <v>325</v>
      </c>
      <c r="Q454" s="17"/>
      <c r="R454">
        <v>96</v>
      </c>
    </row>
    <row r="455" spans="1:18">
      <c r="A455" t="s">
        <v>130</v>
      </c>
      <c r="B455">
        <v>55</v>
      </c>
      <c r="D455" t="s">
        <v>2100</v>
      </c>
      <c r="E455" s="16">
        <v>8050846003200</v>
      </c>
      <c r="F455">
        <v>3</v>
      </c>
      <c r="H455">
        <v>1</v>
      </c>
      <c r="I455">
        <v>54</v>
      </c>
      <c r="J455" t="s">
        <v>325</v>
      </c>
      <c r="Q455" s="17">
        <v>8050846003200</v>
      </c>
      <c r="R455">
        <v>54</v>
      </c>
    </row>
    <row r="456" spans="1:18">
      <c r="A456" t="s">
        <v>50</v>
      </c>
      <c r="B456">
        <v>55</v>
      </c>
      <c r="D456" t="s">
        <v>2101</v>
      </c>
      <c r="E456" s="16">
        <v>8050846003316</v>
      </c>
      <c r="F456">
        <v>3</v>
      </c>
      <c r="H456">
        <v>1</v>
      </c>
      <c r="I456">
        <v>7</v>
      </c>
      <c r="J456" t="s">
        <v>325</v>
      </c>
      <c r="Q456" s="17">
        <v>8050846003316</v>
      </c>
      <c r="R456">
        <v>7</v>
      </c>
    </row>
    <row r="457" spans="1:18">
      <c r="A457" t="s">
        <v>2</v>
      </c>
      <c r="B457">
        <v>55</v>
      </c>
      <c r="D457" t="s">
        <v>2102</v>
      </c>
      <c r="E457" s="16">
        <v>8050846006270</v>
      </c>
      <c r="F457">
        <v>3</v>
      </c>
      <c r="H457">
        <v>2</v>
      </c>
      <c r="I457">
        <v>10</v>
      </c>
      <c r="J457" t="s">
        <v>317</v>
      </c>
      <c r="K457" s="17">
        <v>8050846006270</v>
      </c>
      <c r="L457" t="s">
        <v>1715</v>
      </c>
      <c r="Q457" s="17"/>
      <c r="R457">
        <v>17</v>
      </c>
    </row>
    <row r="458" spans="1:18">
      <c r="A458" t="s">
        <v>120</v>
      </c>
      <c r="B458">
        <v>481</v>
      </c>
      <c r="D458" t="s">
        <v>2103</v>
      </c>
      <c r="E458" s="16" t="s">
        <v>2212</v>
      </c>
      <c r="F458">
        <v>2</v>
      </c>
      <c r="H458">
        <v>1</v>
      </c>
      <c r="I458">
        <v>77</v>
      </c>
      <c r="J458" t="s">
        <v>325</v>
      </c>
      <c r="Q458" s="17"/>
      <c r="R458">
        <v>77</v>
      </c>
    </row>
    <row r="459" spans="1:18">
      <c r="A459" t="s">
        <v>9</v>
      </c>
      <c r="B459">
        <v>371</v>
      </c>
      <c r="D459" t="s">
        <v>2104</v>
      </c>
      <c r="E459" s="16" t="s">
        <v>2212</v>
      </c>
      <c r="F459">
        <v>3</v>
      </c>
      <c r="H459">
        <v>1</v>
      </c>
      <c r="I459">
        <v>20</v>
      </c>
      <c r="J459" t="s">
        <v>325</v>
      </c>
      <c r="Q459" s="17"/>
      <c r="R459">
        <v>20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chercheTousProduits">
                <anchor moveWithCells="1" sizeWithCells="1">
                  <from>
                    <xdr:col>2</xdr:col>
                    <xdr:colOff>127000</xdr:colOff>
                    <xdr:row>0</xdr:row>
                    <xdr:rowOff>114300</xdr:rowOff>
                  </from>
                  <to>
                    <xdr:col>4</xdr:col>
                    <xdr:colOff>101600</xdr:colOff>
                    <xdr:row>2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razContenuCodeBarre">
                <anchor moveWithCells="1" sizeWithCells="1">
                  <from>
                    <xdr:col>4</xdr:col>
                    <xdr:colOff>800100</xdr:colOff>
                    <xdr:row>0</xdr:row>
                    <xdr:rowOff>152400</xdr:rowOff>
                  </from>
                  <to>
                    <xdr:col>7</xdr:col>
                    <xdr:colOff>203200</xdr:colOff>
                    <xdr:row>2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enableFormatConditionsCalculation="0">
    <pageSetUpPr fitToPage="1"/>
  </sheetPr>
  <dimension ref="A1:C579"/>
  <sheetViews>
    <sheetView tabSelected="1" topLeftCell="A11" workbookViewId="0">
      <selection activeCell="A36" activeCellId="3" sqref="A6:A7 A10:A24 A30 A36 A39 A42 A46 A48 A52 A54 A60 A66 A70 A72 A74 A77"/>
      <pivotSelection pane="bottomRight" showHeader="1" axis="axisRow" dimension="1" activeRow="35" previousRow="35" click="1" r:id="rId1">
        <pivotArea dataOnly="0" labelOnly="1" fieldPosition="0">
          <references count="1">
            <reference field="5" count="0"/>
          </references>
        </pivotArea>
      </pivotSelection>
    </sheetView>
  </sheetViews>
  <sheetFormatPr baseColWidth="10" defaultRowHeight="14" x14ac:dyDescent="0"/>
  <cols>
    <col min="1" max="1" width="62.83203125" customWidth="1"/>
    <col min="2" max="2" width="19.1640625" customWidth="1"/>
    <col min="3" max="3" width="18.6640625" style="16" bestFit="1" customWidth="1"/>
    <col min="4" max="6" width="2.1640625" bestFit="1" customWidth="1"/>
    <col min="7" max="7" width="5.5" bestFit="1" customWidth="1"/>
    <col min="8" max="8" width="5" bestFit="1" customWidth="1"/>
  </cols>
  <sheetData>
    <row r="1" spans="1:3">
      <c r="A1" s="5" t="s">
        <v>323</v>
      </c>
      <c r="B1" s="16" t="s">
        <v>2106</v>
      </c>
    </row>
    <row r="2" spans="1:3" ht="18">
      <c r="A2" s="4" t="str">
        <f>Extraction!F2</f>
        <v xml:space="preserve">Document Date doc. Client dest. 002488 O BAG STORE BLAGNAC </v>
      </c>
    </row>
    <row r="3" spans="1:3">
      <c r="B3" s="5" t="s">
        <v>268</v>
      </c>
    </row>
    <row r="4" spans="1:3">
      <c r="A4" s="5" t="s">
        <v>267</v>
      </c>
      <c r="B4" t="s">
        <v>373</v>
      </c>
      <c r="C4" s="16" t="s">
        <v>374</v>
      </c>
    </row>
    <row r="5" spans="1:3">
      <c r="A5" s="6" t="s">
        <v>325</v>
      </c>
      <c r="B5" s="7">
        <v>54</v>
      </c>
      <c r="C5" s="16">
        <v>0</v>
      </c>
    </row>
    <row r="6" spans="1:3">
      <c r="A6" s="8">
        <v>11</v>
      </c>
      <c r="B6" s="7">
        <v>1</v>
      </c>
      <c r="C6" s="16">
        <v>0</v>
      </c>
    </row>
    <row r="7" spans="1:3">
      <c r="A7" s="8">
        <v>20</v>
      </c>
      <c r="B7" s="7">
        <v>2</v>
      </c>
      <c r="C7" s="16">
        <v>0</v>
      </c>
    </row>
    <row r="8" spans="1:3">
      <c r="A8" s="9" t="s">
        <v>1854</v>
      </c>
      <c r="B8" s="7">
        <v>1</v>
      </c>
      <c r="C8" s="16">
        <v>0</v>
      </c>
    </row>
    <row r="9" spans="1:3">
      <c r="A9" s="9" t="s">
        <v>2104</v>
      </c>
      <c r="B9" s="7">
        <v>1</v>
      </c>
      <c r="C9" s="16">
        <v>0</v>
      </c>
    </row>
    <row r="10" spans="1:3">
      <c r="A10" s="8">
        <v>36</v>
      </c>
      <c r="B10" s="7">
        <v>2</v>
      </c>
      <c r="C10" s="16">
        <v>0</v>
      </c>
    </row>
    <row r="11" spans="1:3">
      <c r="A11" s="8">
        <v>109</v>
      </c>
      <c r="B11" s="7">
        <v>1</v>
      </c>
      <c r="C11" s="16">
        <v>0</v>
      </c>
    </row>
    <row r="12" spans="1:3">
      <c r="A12" s="8">
        <v>160</v>
      </c>
      <c r="B12" s="7">
        <v>5</v>
      </c>
      <c r="C12" s="16">
        <v>0</v>
      </c>
    </row>
    <row r="13" spans="1:3">
      <c r="A13" s="8">
        <v>34</v>
      </c>
      <c r="B13" s="7">
        <v>1</v>
      </c>
      <c r="C13" s="16">
        <v>0</v>
      </c>
    </row>
    <row r="14" spans="1:3">
      <c r="A14" s="8">
        <v>17</v>
      </c>
      <c r="B14" s="7">
        <v>2</v>
      </c>
      <c r="C14" s="16">
        <v>0</v>
      </c>
    </row>
    <row r="15" spans="1:3">
      <c r="A15" s="8">
        <v>14</v>
      </c>
      <c r="B15" s="7">
        <v>1</v>
      </c>
      <c r="C15" s="16">
        <v>0</v>
      </c>
    </row>
    <row r="16" spans="1:3">
      <c r="A16" s="8">
        <v>95</v>
      </c>
      <c r="B16" s="7">
        <v>3</v>
      </c>
      <c r="C16" s="16">
        <v>0</v>
      </c>
    </row>
    <row r="17" spans="1:3">
      <c r="A17" s="8">
        <v>76</v>
      </c>
      <c r="B17" s="7">
        <v>2</v>
      </c>
      <c r="C17" s="16">
        <v>0</v>
      </c>
    </row>
    <row r="18" spans="1:3">
      <c r="A18" s="8">
        <v>81</v>
      </c>
      <c r="B18" s="7">
        <v>2</v>
      </c>
      <c r="C18" s="16">
        <v>0</v>
      </c>
    </row>
    <row r="19" spans="1:3">
      <c r="A19" s="8">
        <v>184</v>
      </c>
      <c r="B19" s="7">
        <v>3</v>
      </c>
      <c r="C19" s="16">
        <v>0</v>
      </c>
    </row>
    <row r="20" spans="1:3">
      <c r="A20" s="8">
        <v>94</v>
      </c>
      <c r="B20" s="7">
        <v>4</v>
      </c>
      <c r="C20" s="16">
        <v>0</v>
      </c>
    </row>
    <row r="21" spans="1:3">
      <c r="A21" s="8">
        <v>241</v>
      </c>
      <c r="B21" s="7">
        <v>1</v>
      </c>
      <c r="C21" s="16">
        <v>0</v>
      </c>
    </row>
    <row r="22" spans="1:3">
      <c r="A22" s="8">
        <v>242</v>
      </c>
      <c r="B22" s="7">
        <v>1</v>
      </c>
      <c r="C22" s="16">
        <v>0</v>
      </c>
    </row>
    <row r="23" spans="1:3">
      <c r="A23" s="8">
        <v>77</v>
      </c>
      <c r="B23" s="7">
        <v>3</v>
      </c>
      <c r="C23" s="16">
        <v>0</v>
      </c>
    </row>
    <row r="24" spans="1:3">
      <c r="A24" s="8">
        <v>93</v>
      </c>
      <c r="B24" s="7">
        <v>5</v>
      </c>
      <c r="C24" s="16">
        <v>0</v>
      </c>
    </row>
    <row r="25" spans="1:3">
      <c r="A25" s="9" t="s">
        <v>1891</v>
      </c>
      <c r="B25" s="7">
        <v>1</v>
      </c>
      <c r="C25" s="16">
        <v>0</v>
      </c>
    </row>
    <row r="26" spans="1:3">
      <c r="A26" s="9" t="s">
        <v>1892</v>
      </c>
      <c r="B26" s="7">
        <v>1</v>
      </c>
      <c r="C26" s="16">
        <v>0</v>
      </c>
    </row>
    <row r="27" spans="1:3">
      <c r="A27" s="9" t="s">
        <v>1932</v>
      </c>
      <c r="B27" s="7">
        <v>1</v>
      </c>
      <c r="C27" s="16">
        <v>0</v>
      </c>
    </row>
    <row r="28" spans="1:3">
      <c r="A28" s="9" t="s">
        <v>2051</v>
      </c>
      <c r="B28" s="7">
        <v>1</v>
      </c>
      <c r="C28" s="16">
        <v>0</v>
      </c>
    </row>
    <row r="29" spans="1:3">
      <c r="A29" s="9" t="s">
        <v>2096</v>
      </c>
      <c r="B29" s="7">
        <v>1</v>
      </c>
      <c r="C29" s="16">
        <v>0</v>
      </c>
    </row>
    <row r="30" spans="1:3">
      <c r="A30" s="8">
        <v>167</v>
      </c>
      <c r="B30" s="7">
        <v>5</v>
      </c>
      <c r="C30" s="16">
        <v>0</v>
      </c>
    </row>
    <row r="31" spans="1:3">
      <c r="A31" s="9" t="s">
        <v>1899</v>
      </c>
      <c r="B31" s="7">
        <v>1</v>
      </c>
      <c r="C31" s="16">
        <v>0</v>
      </c>
    </row>
    <row r="32" spans="1:3">
      <c r="A32" s="9" t="s">
        <v>1900</v>
      </c>
      <c r="B32" s="7">
        <v>1</v>
      </c>
      <c r="C32" s="16">
        <v>0</v>
      </c>
    </row>
    <row r="33" spans="1:3">
      <c r="A33" s="9" t="s">
        <v>1901</v>
      </c>
      <c r="B33" s="7">
        <v>1</v>
      </c>
      <c r="C33" s="16">
        <v>0</v>
      </c>
    </row>
    <row r="34" spans="1:3">
      <c r="A34" s="9" t="s">
        <v>2063</v>
      </c>
      <c r="B34" s="7">
        <v>1</v>
      </c>
      <c r="C34" s="16">
        <v>0</v>
      </c>
    </row>
    <row r="35" spans="1:3">
      <c r="A35" s="9" t="s">
        <v>2064</v>
      </c>
      <c r="B35" s="7">
        <v>1</v>
      </c>
      <c r="C35" s="16">
        <v>0</v>
      </c>
    </row>
    <row r="36" spans="1:3">
      <c r="A36" s="8">
        <v>15</v>
      </c>
      <c r="B36" s="7">
        <v>2</v>
      </c>
      <c r="C36" s="16">
        <v>0</v>
      </c>
    </row>
    <row r="37" spans="1:3">
      <c r="A37" s="9" t="s">
        <v>1919</v>
      </c>
      <c r="B37" s="7">
        <v>1</v>
      </c>
      <c r="C37" s="16">
        <v>0</v>
      </c>
    </row>
    <row r="38" spans="1:3">
      <c r="A38" s="9" t="s">
        <v>1989</v>
      </c>
      <c r="B38" s="7">
        <v>1</v>
      </c>
      <c r="C38" s="16">
        <v>0</v>
      </c>
    </row>
    <row r="39" spans="1:3">
      <c r="A39" s="8">
        <v>78</v>
      </c>
      <c r="B39" s="7">
        <v>2</v>
      </c>
      <c r="C39" s="16">
        <v>0</v>
      </c>
    </row>
    <row r="40" spans="1:3">
      <c r="A40" s="9" t="s">
        <v>1935</v>
      </c>
      <c r="B40" s="7">
        <v>1</v>
      </c>
      <c r="C40" s="16">
        <v>0</v>
      </c>
    </row>
    <row r="41" spans="1:3">
      <c r="A41" s="9" t="s">
        <v>1943</v>
      </c>
      <c r="B41" s="7">
        <v>1</v>
      </c>
      <c r="C41" s="16">
        <v>0</v>
      </c>
    </row>
    <row r="42" spans="1:3">
      <c r="A42" s="8">
        <v>146</v>
      </c>
      <c r="B42" s="7">
        <v>3</v>
      </c>
      <c r="C42" s="16">
        <v>0</v>
      </c>
    </row>
    <row r="43" spans="1:3">
      <c r="A43" s="9" t="s">
        <v>1978</v>
      </c>
      <c r="B43" s="7">
        <v>1</v>
      </c>
      <c r="C43" s="16">
        <v>0</v>
      </c>
    </row>
    <row r="44" spans="1:3">
      <c r="A44" s="9" t="s">
        <v>2078</v>
      </c>
      <c r="B44" s="7">
        <v>1</v>
      </c>
      <c r="C44" s="16">
        <v>0</v>
      </c>
    </row>
    <row r="45" spans="1:3">
      <c r="A45" s="9" t="s">
        <v>2081</v>
      </c>
      <c r="B45" s="7">
        <v>1</v>
      </c>
      <c r="C45" s="16">
        <v>0</v>
      </c>
    </row>
    <row r="46" spans="1:3">
      <c r="A46" s="8">
        <v>79</v>
      </c>
      <c r="B46" s="7">
        <v>1</v>
      </c>
      <c r="C46" s="16">
        <v>0</v>
      </c>
    </row>
    <row r="47" spans="1:3">
      <c r="A47" s="9" t="s">
        <v>1994</v>
      </c>
      <c r="B47" s="7">
        <v>1</v>
      </c>
      <c r="C47" s="16">
        <v>0</v>
      </c>
    </row>
    <row r="48" spans="1:3">
      <c r="A48" s="8">
        <v>96</v>
      </c>
      <c r="B48" s="7">
        <v>2</v>
      </c>
      <c r="C48" s="16">
        <v>0</v>
      </c>
    </row>
    <row r="49" spans="1:3">
      <c r="A49" s="9" t="s">
        <v>2091</v>
      </c>
      <c r="B49" s="7">
        <v>1</v>
      </c>
      <c r="C49" s="16">
        <v>0</v>
      </c>
    </row>
    <row r="50" spans="1:3">
      <c r="A50" s="9" t="s">
        <v>2099</v>
      </c>
      <c r="B50" s="7">
        <v>1</v>
      </c>
      <c r="C50" s="16">
        <v>0</v>
      </c>
    </row>
    <row r="51" spans="1:3">
      <c r="A51" s="6" t="s">
        <v>324</v>
      </c>
      <c r="B51" s="7">
        <v>13</v>
      </c>
      <c r="C51" s="16">
        <v>0</v>
      </c>
    </row>
    <row r="52" spans="1:3">
      <c r="A52" s="8">
        <v>5</v>
      </c>
      <c r="B52" s="7">
        <v>1</v>
      </c>
      <c r="C52" s="16">
        <v>0</v>
      </c>
    </row>
    <row r="53" spans="1:3">
      <c r="A53" s="9" t="s">
        <v>338</v>
      </c>
      <c r="B53" s="7">
        <v>1</v>
      </c>
      <c r="C53" s="16">
        <v>0</v>
      </c>
    </row>
    <row r="54" spans="1:3">
      <c r="A54" s="8">
        <v>6</v>
      </c>
      <c r="B54" s="7">
        <v>5</v>
      </c>
      <c r="C54" s="16">
        <v>0</v>
      </c>
    </row>
    <row r="55" spans="1:3">
      <c r="A55" s="9" t="s">
        <v>335</v>
      </c>
      <c r="B55" s="7">
        <v>1</v>
      </c>
      <c r="C55" s="16">
        <v>0</v>
      </c>
    </row>
    <row r="56" spans="1:3">
      <c r="A56" s="9" t="s">
        <v>1704</v>
      </c>
      <c r="B56" s="7">
        <v>1</v>
      </c>
      <c r="C56" s="16">
        <v>0</v>
      </c>
    </row>
    <row r="57" spans="1:3">
      <c r="A57" s="9" t="s">
        <v>1868</v>
      </c>
      <c r="B57" s="7">
        <v>1</v>
      </c>
      <c r="C57" s="16">
        <v>0</v>
      </c>
    </row>
    <row r="58" spans="1:3">
      <c r="A58" s="9" t="s">
        <v>2027</v>
      </c>
      <c r="B58" s="7">
        <v>1</v>
      </c>
      <c r="C58" s="16">
        <v>0</v>
      </c>
    </row>
    <row r="59" spans="1:3">
      <c r="A59" s="9" t="s">
        <v>2079</v>
      </c>
      <c r="B59" s="7">
        <v>1</v>
      </c>
      <c r="C59" s="16">
        <v>0</v>
      </c>
    </row>
    <row r="60" spans="1:3">
      <c r="A60" s="8">
        <v>7</v>
      </c>
      <c r="B60" s="7">
        <v>5</v>
      </c>
      <c r="C60" s="16">
        <v>0</v>
      </c>
    </row>
    <row r="61" spans="1:3">
      <c r="A61" s="9" t="s">
        <v>340</v>
      </c>
      <c r="B61" s="7">
        <v>1</v>
      </c>
      <c r="C61" s="16">
        <v>0</v>
      </c>
    </row>
    <row r="62" spans="1:3">
      <c r="A62" s="9" t="s">
        <v>1705</v>
      </c>
      <c r="B62" s="7">
        <v>1</v>
      </c>
      <c r="C62" s="16">
        <v>0</v>
      </c>
    </row>
    <row r="63" spans="1:3">
      <c r="A63" s="9" t="s">
        <v>1821</v>
      </c>
      <c r="B63" s="7">
        <v>1</v>
      </c>
      <c r="C63" s="16">
        <v>0</v>
      </c>
    </row>
    <row r="64" spans="1:3">
      <c r="A64" s="9" t="s">
        <v>1870</v>
      </c>
      <c r="B64" s="7">
        <v>1</v>
      </c>
      <c r="C64" s="16">
        <v>0</v>
      </c>
    </row>
    <row r="65" spans="1:3">
      <c r="A65" s="9" t="s">
        <v>1971</v>
      </c>
      <c r="B65" s="7">
        <v>1</v>
      </c>
      <c r="C65" s="16">
        <v>0</v>
      </c>
    </row>
    <row r="66" spans="1:3">
      <c r="A66" s="8">
        <v>10</v>
      </c>
      <c r="B66" s="7">
        <v>2</v>
      </c>
      <c r="C66" s="16">
        <v>0</v>
      </c>
    </row>
    <row r="67" spans="1:3">
      <c r="A67" s="9" t="s">
        <v>1707</v>
      </c>
      <c r="B67" s="7">
        <v>1</v>
      </c>
      <c r="C67" s="16">
        <v>0</v>
      </c>
    </row>
    <row r="68" spans="1:3">
      <c r="A68" s="9" t="s">
        <v>1866</v>
      </c>
      <c r="B68" s="7">
        <v>1</v>
      </c>
      <c r="C68" s="16">
        <v>0</v>
      </c>
    </row>
    <row r="69" spans="1:3">
      <c r="A69" s="6" t="s">
        <v>316</v>
      </c>
      <c r="B69" s="7">
        <v>6</v>
      </c>
      <c r="C69" s="16">
        <v>0</v>
      </c>
    </row>
    <row r="70" spans="1:3">
      <c r="A70" s="8">
        <v>4</v>
      </c>
      <c r="B70" s="7">
        <v>2</v>
      </c>
      <c r="C70" s="16">
        <v>0</v>
      </c>
    </row>
    <row r="71" spans="1:3">
      <c r="A71" s="9" t="s">
        <v>1917</v>
      </c>
      <c r="B71" s="7">
        <v>2</v>
      </c>
      <c r="C71" s="16">
        <v>0</v>
      </c>
    </row>
    <row r="72" spans="1:3">
      <c r="A72" s="8">
        <v>6</v>
      </c>
      <c r="B72" s="7">
        <v>2</v>
      </c>
      <c r="C72" s="16">
        <v>0</v>
      </c>
    </row>
    <row r="73" spans="1:3">
      <c r="A73" s="9" t="s">
        <v>1710</v>
      </c>
      <c r="B73" s="7">
        <v>2</v>
      </c>
      <c r="C73" s="16">
        <v>0</v>
      </c>
    </row>
    <row r="74" spans="1:3">
      <c r="A74" s="8">
        <v>8</v>
      </c>
      <c r="B74" s="7">
        <v>2</v>
      </c>
      <c r="C74" s="16">
        <v>0</v>
      </c>
    </row>
    <row r="75" spans="1:3">
      <c r="A75" s="9" t="s">
        <v>346</v>
      </c>
      <c r="B75" s="7">
        <v>2</v>
      </c>
      <c r="C75" s="16">
        <v>0</v>
      </c>
    </row>
    <row r="76" spans="1:3">
      <c r="A76" s="6" t="s">
        <v>269</v>
      </c>
      <c r="B76" s="7">
        <v>0</v>
      </c>
      <c r="C76" s="16">
        <v>0</v>
      </c>
    </row>
    <row r="77" spans="1:3">
      <c r="A77" s="8" t="s">
        <v>269</v>
      </c>
      <c r="B77" s="7">
        <v>0</v>
      </c>
      <c r="C77" s="16">
        <v>0</v>
      </c>
    </row>
    <row r="78" spans="1:3">
      <c r="A78" s="9" t="s">
        <v>330</v>
      </c>
      <c r="B78" s="7">
        <v>0</v>
      </c>
      <c r="C78" s="16">
        <v>0</v>
      </c>
    </row>
    <row r="79" spans="1:3">
      <c r="A79" s="9" t="s">
        <v>351</v>
      </c>
      <c r="B79" s="7">
        <v>0</v>
      </c>
      <c r="C79" s="16">
        <v>0</v>
      </c>
    </row>
    <row r="80" spans="1:3">
      <c r="A80" s="9" t="s">
        <v>1726</v>
      </c>
      <c r="B80" s="7">
        <v>0</v>
      </c>
      <c r="C80" s="16">
        <v>0</v>
      </c>
    </row>
    <row r="81" spans="1:3">
      <c r="A81" s="9" t="s">
        <v>1756</v>
      </c>
      <c r="B81" s="7">
        <v>0</v>
      </c>
      <c r="C81" s="16">
        <v>0</v>
      </c>
    </row>
    <row r="82" spans="1:3">
      <c r="A82" s="9" t="s">
        <v>1803</v>
      </c>
      <c r="B82" s="7">
        <v>0</v>
      </c>
      <c r="C82" s="16">
        <v>0</v>
      </c>
    </row>
    <row r="83" spans="1:3">
      <c r="A83" s="9" t="s">
        <v>1828</v>
      </c>
      <c r="B83" s="7">
        <v>0</v>
      </c>
      <c r="C83" s="16">
        <v>0</v>
      </c>
    </row>
    <row r="84" spans="1:3">
      <c r="A84" s="9" t="s">
        <v>1836</v>
      </c>
      <c r="B84" s="7">
        <v>0</v>
      </c>
      <c r="C84" s="16">
        <v>0</v>
      </c>
    </row>
    <row r="85" spans="1:3">
      <c r="A85" s="9" t="s">
        <v>1839</v>
      </c>
      <c r="B85" s="7">
        <v>0</v>
      </c>
      <c r="C85" s="16">
        <v>0</v>
      </c>
    </row>
    <row r="86" spans="1:3">
      <c r="A86" s="9" t="s">
        <v>1908</v>
      </c>
      <c r="B86" s="7">
        <v>0</v>
      </c>
      <c r="C86" s="16">
        <v>0</v>
      </c>
    </row>
    <row r="87" spans="1:3">
      <c r="A87" s="9" t="s">
        <v>1910</v>
      </c>
      <c r="B87" s="7">
        <v>0</v>
      </c>
      <c r="C87" s="16">
        <v>0</v>
      </c>
    </row>
    <row r="88" spans="1:3">
      <c r="A88" s="9" t="s">
        <v>1925</v>
      </c>
      <c r="B88" s="7">
        <v>0</v>
      </c>
      <c r="C88" s="16">
        <v>0</v>
      </c>
    </row>
    <row r="89" spans="1:3">
      <c r="A89" s="9" t="s">
        <v>1926</v>
      </c>
      <c r="B89" s="7">
        <v>0</v>
      </c>
      <c r="C89" s="16">
        <v>0</v>
      </c>
    </row>
    <row r="90" spans="1:3">
      <c r="A90" s="9" t="s">
        <v>1967</v>
      </c>
      <c r="B90" s="7">
        <v>0</v>
      </c>
      <c r="C90" s="16">
        <v>0</v>
      </c>
    </row>
    <row r="91" spans="1:3">
      <c r="A91" s="9" t="s">
        <v>1981</v>
      </c>
      <c r="B91" s="7">
        <v>0</v>
      </c>
      <c r="C91" s="16">
        <v>0</v>
      </c>
    </row>
    <row r="92" spans="1:3">
      <c r="A92" s="9" t="s">
        <v>1995</v>
      </c>
      <c r="B92" s="7">
        <v>0</v>
      </c>
      <c r="C92" s="16">
        <v>0</v>
      </c>
    </row>
    <row r="93" spans="1:3">
      <c r="A93" s="9" t="s">
        <v>2009</v>
      </c>
      <c r="B93" s="7">
        <v>0</v>
      </c>
      <c r="C93" s="16">
        <v>0</v>
      </c>
    </row>
    <row r="94" spans="1:3">
      <c r="A94" s="9" t="s">
        <v>2010</v>
      </c>
      <c r="B94" s="7">
        <v>0</v>
      </c>
      <c r="C94" s="16">
        <v>0</v>
      </c>
    </row>
    <row r="95" spans="1:3">
      <c r="A95" s="9" t="s">
        <v>2034</v>
      </c>
      <c r="B95" s="7">
        <v>0</v>
      </c>
      <c r="C95" s="16">
        <v>0</v>
      </c>
    </row>
    <row r="96" spans="1:3">
      <c r="A96" s="9" t="s">
        <v>2066</v>
      </c>
      <c r="B96" s="7">
        <v>0</v>
      </c>
      <c r="C96" s="16">
        <v>0</v>
      </c>
    </row>
    <row r="97" spans="1:3">
      <c r="A97" s="9" t="s">
        <v>2069</v>
      </c>
      <c r="B97" s="7">
        <v>0</v>
      </c>
      <c r="C97" s="16">
        <v>0</v>
      </c>
    </row>
    <row r="98" spans="1:3">
      <c r="A98" s="6" t="s">
        <v>132</v>
      </c>
      <c r="B98" s="7">
        <v>73</v>
      </c>
      <c r="C98" s="16">
        <v>0</v>
      </c>
    </row>
    <row r="99" spans="1:3">
      <c r="C99"/>
    </row>
    <row r="100" spans="1:3">
      <c r="C100"/>
    </row>
    <row r="101" spans="1:3">
      <c r="C101"/>
    </row>
    <row r="102" spans="1:3">
      <c r="C102"/>
    </row>
    <row r="103" spans="1:3">
      <c r="C103"/>
    </row>
    <row r="104" spans="1:3">
      <c r="C104"/>
    </row>
    <row r="105" spans="1:3">
      <c r="C105"/>
    </row>
    <row r="106" spans="1:3">
      <c r="C106"/>
    </row>
    <row r="107" spans="1:3">
      <c r="C107"/>
    </row>
    <row r="108" spans="1:3">
      <c r="C108"/>
    </row>
    <row r="109" spans="1:3">
      <c r="C109"/>
    </row>
    <row r="110" spans="1:3">
      <c r="C110"/>
    </row>
    <row r="111" spans="1:3">
      <c r="C111"/>
    </row>
    <row r="112" spans="1:3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  <row r="250" spans="3:3">
      <c r="C250"/>
    </row>
    <row r="251" spans="3:3">
      <c r="C251"/>
    </row>
    <row r="252" spans="3:3">
      <c r="C252"/>
    </row>
    <row r="253" spans="3:3">
      <c r="C253"/>
    </row>
    <row r="254" spans="3:3">
      <c r="C254"/>
    </row>
    <row r="255" spans="3:3">
      <c r="C255"/>
    </row>
    <row r="256" spans="3:3">
      <c r="C256"/>
    </row>
    <row r="257" spans="3:3">
      <c r="C257"/>
    </row>
    <row r="258" spans="3:3">
      <c r="C258"/>
    </row>
    <row r="259" spans="3:3">
      <c r="C259"/>
    </row>
    <row r="260" spans="3:3">
      <c r="C260"/>
    </row>
    <row r="261" spans="3:3">
      <c r="C261"/>
    </row>
    <row r="262" spans="3:3">
      <c r="C262"/>
    </row>
    <row r="263" spans="3:3">
      <c r="C263"/>
    </row>
    <row r="264" spans="3:3">
      <c r="C264"/>
    </row>
    <row r="265" spans="3:3">
      <c r="C265"/>
    </row>
    <row r="266" spans="3:3">
      <c r="C266"/>
    </row>
    <row r="267" spans="3:3">
      <c r="C267"/>
    </row>
    <row r="268" spans="3:3">
      <c r="C268"/>
    </row>
    <row r="269" spans="3:3">
      <c r="C269"/>
    </row>
    <row r="270" spans="3:3">
      <c r="C270"/>
    </row>
    <row r="271" spans="3:3">
      <c r="C271"/>
    </row>
    <row r="272" spans="3:3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  <row r="309" spans="3:3">
      <c r="C309"/>
    </row>
    <row r="310" spans="3:3">
      <c r="C310"/>
    </row>
    <row r="311" spans="3:3">
      <c r="C311"/>
    </row>
    <row r="312" spans="3:3">
      <c r="C312"/>
    </row>
    <row r="313" spans="3:3">
      <c r="C313"/>
    </row>
    <row r="314" spans="3:3">
      <c r="C314"/>
    </row>
    <row r="315" spans="3:3">
      <c r="C315"/>
    </row>
    <row r="316" spans="3:3">
      <c r="C316"/>
    </row>
    <row r="317" spans="3:3">
      <c r="C317"/>
    </row>
    <row r="318" spans="3:3">
      <c r="C318"/>
    </row>
    <row r="319" spans="3:3">
      <c r="C319"/>
    </row>
    <row r="320" spans="3:3">
      <c r="C320"/>
    </row>
    <row r="321" spans="3:3">
      <c r="C321"/>
    </row>
    <row r="322" spans="3:3">
      <c r="C322"/>
    </row>
    <row r="323" spans="3:3">
      <c r="C323"/>
    </row>
    <row r="324" spans="3:3">
      <c r="C324"/>
    </row>
    <row r="325" spans="3:3">
      <c r="C325"/>
    </row>
    <row r="326" spans="3:3">
      <c r="C326"/>
    </row>
    <row r="327" spans="3:3">
      <c r="C327"/>
    </row>
    <row r="328" spans="3:3">
      <c r="C328"/>
    </row>
    <row r="329" spans="3:3">
      <c r="C329"/>
    </row>
    <row r="330" spans="3:3">
      <c r="C330"/>
    </row>
    <row r="331" spans="3:3">
      <c r="C331"/>
    </row>
    <row r="332" spans="3:3">
      <c r="C332"/>
    </row>
    <row r="333" spans="3:3">
      <c r="C333"/>
    </row>
    <row r="334" spans="3:3">
      <c r="C334"/>
    </row>
    <row r="335" spans="3:3">
      <c r="C335"/>
    </row>
    <row r="336" spans="3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</sheetData>
  <phoneticPr fontId="8" type="noConversion"/>
  <pageMargins left="0.75000000000000011" right="0.75000000000000011" top="1" bottom="1" header="0.5" footer="0.5"/>
  <pageSetup paperSize="9" scale="80" fitToHeight="0" orientation="portrait" horizontalDpi="4294967292" verticalDpi="4294967292"/>
  <headerFooter>
    <oddFooter>&amp;L&amp;K000000&amp;F &amp;A&amp;R&amp;K000000&amp;P / &amp;N - &amp;D &amp;T</oddFooter>
  </headerFooter>
  <extLst>
    <ext xmlns:mx="http://schemas.microsoft.com/office/mac/excel/2008/main" uri="{64002731-A6B0-56B0-2670-7721B7C09600}">
      <mx:PLV Mode="0" OnePage="0" WScale="10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/>
  <dimension ref="A1:B78"/>
  <sheetViews>
    <sheetView topLeftCell="A52" workbookViewId="0">
      <selection activeCell="I65" sqref="I65"/>
    </sheetView>
  </sheetViews>
  <sheetFormatPr baseColWidth="10" defaultRowHeight="15" x14ac:dyDescent="0"/>
  <cols>
    <col min="1" max="16384" width="10.83203125" style="12"/>
  </cols>
  <sheetData>
    <row r="1" spans="1:2">
      <c r="A1" s="11" t="s">
        <v>270</v>
      </c>
      <c r="B1" s="11" t="s">
        <v>271</v>
      </c>
    </row>
    <row r="3" spans="1:2">
      <c r="A3" s="13">
        <v>1</v>
      </c>
      <c r="B3" s="12" t="s">
        <v>272</v>
      </c>
    </row>
    <row r="4" spans="1:2">
      <c r="A4" s="13">
        <v>2</v>
      </c>
      <c r="B4" s="12" t="s">
        <v>273</v>
      </c>
    </row>
    <row r="5" spans="1:2">
      <c r="A5" s="13">
        <v>3</v>
      </c>
      <c r="B5" s="14"/>
    </row>
    <row r="6" spans="1:2">
      <c r="A6" s="13">
        <v>4</v>
      </c>
      <c r="B6" s="14" t="s">
        <v>274</v>
      </c>
    </row>
    <row r="7" spans="1:2">
      <c r="A7" s="13">
        <v>5</v>
      </c>
      <c r="B7" s="14" t="s">
        <v>275</v>
      </c>
    </row>
    <row r="8" spans="1:2">
      <c r="A8" s="13">
        <v>6</v>
      </c>
      <c r="B8" s="14" t="s">
        <v>276</v>
      </c>
    </row>
    <row r="9" spans="1:2">
      <c r="A9" s="13">
        <v>8</v>
      </c>
      <c r="B9" s="14" t="s">
        <v>277</v>
      </c>
    </row>
    <row r="10" spans="1:2">
      <c r="A10" s="13">
        <v>9</v>
      </c>
      <c r="B10" s="14"/>
    </row>
    <row r="11" spans="1:2">
      <c r="A11" s="13">
        <v>11</v>
      </c>
      <c r="B11" s="14"/>
    </row>
    <row r="12" spans="1:2">
      <c r="A12" s="13">
        <v>15</v>
      </c>
      <c r="B12" s="14" t="s">
        <v>278</v>
      </c>
    </row>
    <row r="13" spans="1:2">
      <c r="A13" s="13">
        <v>17</v>
      </c>
      <c r="B13" s="14" t="s">
        <v>279</v>
      </c>
    </row>
    <row r="14" spans="1:2">
      <c r="A14" s="13">
        <v>18</v>
      </c>
      <c r="B14" s="14" t="s">
        <v>280</v>
      </c>
    </row>
    <row r="15" spans="1:2">
      <c r="A15" s="13">
        <v>20</v>
      </c>
      <c r="B15" s="14"/>
    </row>
    <row r="16" spans="1:2">
      <c r="A16" s="13">
        <v>25</v>
      </c>
      <c r="B16" s="14"/>
    </row>
    <row r="17" spans="1:2">
      <c r="A17" s="13">
        <v>26</v>
      </c>
      <c r="B17" s="14"/>
    </row>
    <row r="18" spans="1:2">
      <c r="A18" s="13">
        <v>28</v>
      </c>
      <c r="B18" s="14"/>
    </row>
    <row r="19" spans="1:2">
      <c r="A19" s="13">
        <v>38</v>
      </c>
      <c r="B19" s="14"/>
    </row>
    <row r="20" spans="1:2">
      <c r="A20" s="13">
        <v>39</v>
      </c>
      <c r="B20" s="14" t="s">
        <v>281</v>
      </c>
    </row>
    <row r="21" spans="1:2">
      <c r="A21" s="13">
        <v>40</v>
      </c>
      <c r="B21" s="14"/>
    </row>
    <row r="22" spans="1:2">
      <c r="A22" s="13">
        <v>44</v>
      </c>
      <c r="B22" s="14" t="s">
        <v>282</v>
      </c>
    </row>
    <row r="23" spans="1:2">
      <c r="A23" s="13">
        <v>50</v>
      </c>
      <c r="B23" s="14"/>
    </row>
    <row r="24" spans="1:2">
      <c r="A24" s="13">
        <v>53</v>
      </c>
      <c r="B24" s="14" t="s">
        <v>283</v>
      </c>
    </row>
    <row r="25" spans="1:2">
      <c r="A25" s="13">
        <v>54</v>
      </c>
      <c r="B25" s="14"/>
    </row>
    <row r="26" spans="1:2">
      <c r="A26" s="13">
        <v>55</v>
      </c>
      <c r="B26" s="14" t="s">
        <v>284</v>
      </c>
    </row>
    <row r="27" spans="1:2">
      <c r="A27" s="13">
        <v>61</v>
      </c>
      <c r="B27" s="14" t="s">
        <v>285</v>
      </c>
    </row>
    <row r="28" spans="1:2">
      <c r="A28" s="13">
        <v>63</v>
      </c>
      <c r="B28" s="14"/>
    </row>
    <row r="29" spans="1:2">
      <c r="A29" s="13">
        <v>66</v>
      </c>
      <c r="B29" s="14" t="s">
        <v>286</v>
      </c>
    </row>
    <row r="30" spans="1:2">
      <c r="A30" s="13">
        <v>67</v>
      </c>
      <c r="B30" s="14" t="s">
        <v>287</v>
      </c>
    </row>
    <row r="31" spans="1:2">
      <c r="A31" s="13">
        <v>68</v>
      </c>
      <c r="B31" s="14" t="s">
        <v>288</v>
      </c>
    </row>
    <row r="32" spans="1:2">
      <c r="A32" s="13">
        <v>71</v>
      </c>
      <c r="B32" s="14" t="s">
        <v>289</v>
      </c>
    </row>
    <row r="33" spans="1:2">
      <c r="A33" s="13">
        <v>72</v>
      </c>
      <c r="B33" s="14"/>
    </row>
    <row r="34" spans="1:2">
      <c r="A34" s="13">
        <v>75</v>
      </c>
      <c r="B34" s="14"/>
    </row>
    <row r="35" spans="1:2">
      <c r="A35" s="13">
        <v>76</v>
      </c>
      <c r="B35" s="14"/>
    </row>
    <row r="36" spans="1:2">
      <c r="A36" s="13">
        <v>78</v>
      </c>
      <c r="B36" s="14" t="s">
        <v>290</v>
      </c>
    </row>
    <row r="37" spans="1:2">
      <c r="A37" s="13">
        <v>80</v>
      </c>
      <c r="B37" s="14" t="s">
        <v>291</v>
      </c>
    </row>
    <row r="38" spans="1:2">
      <c r="A38" s="13">
        <v>82</v>
      </c>
      <c r="B38" s="14"/>
    </row>
    <row r="39" spans="1:2">
      <c r="A39" s="13">
        <v>84</v>
      </c>
      <c r="B39" s="14" t="s">
        <v>292</v>
      </c>
    </row>
    <row r="40" spans="1:2">
      <c r="A40" s="13">
        <v>86</v>
      </c>
      <c r="B40" s="14"/>
    </row>
    <row r="41" spans="1:2">
      <c r="A41" s="13">
        <v>88</v>
      </c>
      <c r="B41" s="14"/>
    </row>
    <row r="42" spans="1:2">
      <c r="A42" s="13">
        <v>92</v>
      </c>
      <c r="B42" s="14" t="s">
        <v>293</v>
      </c>
    </row>
    <row r="43" spans="1:2">
      <c r="A43" s="13">
        <v>93</v>
      </c>
      <c r="B43" s="14"/>
    </row>
    <row r="44" spans="1:2">
      <c r="A44" s="13">
        <v>95</v>
      </c>
      <c r="B44" s="14" t="s">
        <v>294</v>
      </c>
    </row>
    <row r="45" spans="1:2">
      <c r="A45" s="13">
        <v>97</v>
      </c>
      <c r="B45" s="14"/>
    </row>
    <row r="46" spans="1:2">
      <c r="A46" s="13">
        <v>108</v>
      </c>
      <c r="B46" s="14" t="s">
        <v>295</v>
      </c>
    </row>
    <row r="47" spans="1:2">
      <c r="A47" s="13">
        <v>119</v>
      </c>
      <c r="B47" s="14" t="s">
        <v>296</v>
      </c>
    </row>
    <row r="48" spans="1:2">
      <c r="A48" s="13">
        <v>120</v>
      </c>
      <c r="B48" s="14"/>
    </row>
    <row r="49" spans="1:2">
      <c r="A49" s="13">
        <v>125</v>
      </c>
      <c r="B49" s="14"/>
    </row>
    <row r="50" spans="1:2">
      <c r="A50" s="13">
        <v>132</v>
      </c>
      <c r="B50" s="14" t="s">
        <v>297</v>
      </c>
    </row>
    <row r="51" spans="1:2">
      <c r="A51" s="13">
        <v>131</v>
      </c>
      <c r="B51" s="14" t="s">
        <v>298</v>
      </c>
    </row>
    <row r="52" spans="1:2">
      <c r="A52" s="13">
        <v>132</v>
      </c>
      <c r="B52" s="14" t="s">
        <v>297</v>
      </c>
    </row>
    <row r="53" spans="1:2">
      <c r="A53" s="13">
        <v>133</v>
      </c>
      <c r="B53" s="14" t="s">
        <v>299</v>
      </c>
    </row>
    <row r="54" spans="1:2">
      <c r="A54" s="13">
        <v>134</v>
      </c>
      <c r="B54" s="14"/>
    </row>
    <row r="55" spans="1:2">
      <c r="A55" s="13">
        <v>135</v>
      </c>
      <c r="B55" s="14"/>
    </row>
    <row r="56" spans="1:2">
      <c r="A56" s="13">
        <v>136</v>
      </c>
      <c r="B56" s="14" t="s">
        <v>300</v>
      </c>
    </row>
    <row r="57" spans="1:2">
      <c r="A57" s="13">
        <v>137</v>
      </c>
      <c r="B57" s="14" t="s">
        <v>301</v>
      </c>
    </row>
    <row r="58" spans="1:2">
      <c r="A58" s="13">
        <v>139</v>
      </c>
      <c r="B58" s="14" t="s">
        <v>302</v>
      </c>
    </row>
    <row r="59" spans="1:2">
      <c r="A59" s="13">
        <v>143</v>
      </c>
      <c r="B59" s="14" t="s">
        <v>303</v>
      </c>
    </row>
    <row r="60" spans="1:2">
      <c r="A60" s="13">
        <v>144</v>
      </c>
      <c r="B60" s="14" t="s">
        <v>304</v>
      </c>
    </row>
    <row r="61" spans="1:2">
      <c r="A61" s="13">
        <v>154</v>
      </c>
      <c r="B61" s="14" t="s">
        <v>305</v>
      </c>
    </row>
    <row r="62" spans="1:2">
      <c r="A62" s="13">
        <v>158</v>
      </c>
      <c r="B62" s="14" t="s">
        <v>306</v>
      </c>
    </row>
    <row r="63" spans="1:2">
      <c r="A63" s="13">
        <v>216</v>
      </c>
      <c r="B63" s="14" t="s">
        <v>307</v>
      </c>
    </row>
    <row r="64" spans="1:2">
      <c r="A64" s="13">
        <v>221</v>
      </c>
      <c r="B64" s="14"/>
    </row>
    <row r="65" spans="1:2">
      <c r="A65" s="13">
        <v>227</v>
      </c>
      <c r="B65" s="14"/>
    </row>
    <row r="66" spans="1:2">
      <c r="A66" s="13">
        <v>231</v>
      </c>
      <c r="B66" s="14"/>
    </row>
    <row r="67" spans="1:2">
      <c r="A67" s="13">
        <v>232</v>
      </c>
      <c r="B67" s="14"/>
    </row>
    <row r="68" spans="1:2">
      <c r="A68" s="13">
        <v>308</v>
      </c>
      <c r="B68" s="14"/>
    </row>
    <row r="69" spans="1:2">
      <c r="A69" s="13">
        <v>348</v>
      </c>
      <c r="B69" s="14" t="s">
        <v>308</v>
      </c>
    </row>
    <row r="70" spans="1:2">
      <c r="A70" s="13">
        <v>371</v>
      </c>
      <c r="B70" s="14" t="s">
        <v>309</v>
      </c>
    </row>
    <row r="71" spans="1:2">
      <c r="A71" s="13">
        <v>379</v>
      </c>
      <c r="B71" s="14"/>
    </row>
    <row r="72" spans="1:2">
      <c r="A72" s="13">
        <v>422</v>
      </c>
      <c r="B72" s="14" t="s">
        <v>310</v>
      </c>
    </row>
    <row r="73" spans="1:2">
      <c r="A73" s="13">
        <v>423</v>
      </c>
      <c r="B73" s="14"/>
    </row>
    <row r="74" spans="1:2">
      <c r="A74" s="13">
        <v>424</v>
      </c>
      <c r="B74" s="14"/>
    </row>
    <row r="75" spans="1:2">
      <c r="A75" s="13">
        <v>426</v>
      </c>
      <c r="B75" s="14"/>
    </row>
    <row r="76" spans="1:2">
      <c r="A76" s="13">
        <v>429</v>
      </c>
      <c r="B76" s="14"/>
    </row>
    <row r="77" spans="1:2">
      <c r="A77" s="13">
        <v>430</v>
      </c>
      <c r="B77" s="14"/>
    </row>
    <row r="78" spans="1:2">
      <c r="A78" s="13">
        <v>530</v>
      </c>
      <c r="B78" s="14"/>
    </row>
  </sheetData>
  <pageMargins left="0.75000000000000011" right="0.75000000000000011" top="1" bottom="1" header="0.5" footer="0.5"/>
  <pageSetup paperSize="9" orientation="portrait" horizontalDpi="4294967292" verticalDpi="4294967292"/>
  <headerFooter>
    <oddFooter>&amp;L&amp;"Calibri,Normal"&amp;K000000&amp;F &amp;A&amp;R&amp;"Calibri,Normal"&amp;K000000&amp;P / &amp;N - &amp;D &amp;T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1:B6211"/>
  <sheetViews>
    <sheetView workbookViewId="0">
      <selection sqref="A1:B6211"/>
    </sheetView>
  </sheetViews>
  <sheetFormatPr baseColWidth="10" defaultRowHeight="14" x14ac:dyDescent="0"/>
  <sheetData>
    <row r="1" spans="1:2">
      <c r="A1" s="19" t="s">
        <v>2107</v>
      </c>
      <c r="B1" s="19"/>
    </row>
    <row r="3" spans="1:2" ht="50">
      <c r="A3" s="21" t="s">
        <v>133</v>
      </c>
      <c r="B3" s="27" t="s">
        <v>2108</v>
      </c>
    </row>
    <row r="4" spans="1:2" ht="30">
      <c r="A4" s="21" t="s">
        <v>131</v>
      </c>
      <c r="B4" s="27" t="s">
        <v>2109</v>
      </c>
    </row>
    <row r="5" spans="1:2" ht="40">
      <c r="A5" s="21" t="s">
        <v>389</v>
      </c>
      <c r="B5" s="27" t="s">
        <v>392</v>
      </c>
    </row>
    <row r="6" spans="1:2">
      <c r="A6" s="20"/>
      <c r="B6" s="20"/>
    </row>
    <row r="8" spans="1:2">
      <c r="A8" s="19" t="s">
        <v>393</v>
      </c>
      <c r="B8" s="19"/>
    </row>
    <row r="10" spans="1:2">
      <c r="A10" s="22" t="s">
        <v>394</v>
      </c>
      <c r="B10" s="22"/>
    </row>
    <row r="12" spans="1:2">
      <c r="A12" s="19" t="s">
        <v>395</v>
      </c>
      <c r="B12" s="19"/>
    </row>
    <row r="14" spans="1:2">
      <c r="A14" s="19" t="s">
        <v>396</v>
      </c>
    </row>
    <row r="16" spans="1:2">
      <c r="A16" s="22" t="s">
        <v>397</v>
      </c>
      <c r="B16" s="22"/>
    </row>
    <row r="18" spans="1:2">
      <c r="A18" s="19" t="s">
        <v>398</v>
      </c>
    </row>
    <row r="20" spans="1:2">
      <c r="A20" s="19" t="s">
        <v>399</v>
      </c>
      <c r="B20" s="19"/>
    </row>
    <row r="22" spans="1:2">
      <c r="A22" s="19" t="s">
        <v>400</v>
      </c>
      <c r="B22" s="19"/>
    </row>
    <row r="24" spans="1:2">
      <c r="A24" s="23" t="s">
        <v>1018</v>
      </c>
      <c r="B24" s="23"/>
    </row>
    <row r="26" spans="1:2">
      <c r="A26" s="19" t="s">
        <v>2110</v>
      </c>
      <c r="B26" s="19"/>
    </row>
    <row r="28" spans="1:2">
      <c r="A28" s="19" t="s">
        <v>2111</v>
      </c>
      <c r="B28" s="19"/>
    </row>
    <row r="30" spans="1:2">
      <c r="A30" s="22" t="s">
        <v>1021</v>
      </c>
      <c r="B30" s="22"/>
    </row>
    <row r="32" spans="1:2">
      <c r="A32" s="22" t="s">
        <v>464</v>
      </c>
      <c r="B32" s="22"/>
    </row>
    <row r="34" spans="1:2">
      <c r="A34" s="19" t="s">
        <v>406</v>
      </c>
    </row>
    <row r="36" spans="1:2">
      <c r="A36" s="22" t="s">
        <v>407</v>
      </c>
    </row>
    <row r="38" spans="1:2">
      <c r="A38" s="22">
        <v>3</v>
      </c>
    </row>
    <row r="40" spans="1:2">
      <c r="A40" s="22" t="s">
        <v>1022</v>
      </c>
      <c r="B40" s="22"/>
    </row>
    <row r="42" spans="1:2">
      <c r="A42" s="22" t="s">
        <v>507</v>
      </c>
      <c r="B42" s="22"/>
    </row>
    <row r="44" spans="1:2">
      <c r="A44" s="19" t="s">
        <v>406</v>
      </c>
    </row>
    <row r="46" spans="1:2">
      <c r="A46" s="22" t="s">
        <v>407</v>
      </c>
    </row>
    <row r="48" spans="1:2">
      <c r="A48" s="22">
        <v>4</v>
      </c>
    </row>
    <row r="50" spans="1:2">
      <c r="A50" s="22" t="s">
        <v>1023</v>
      </c>
      <c r="B50" s="22"/>
    </row>
    <row r="52" spans="1:2">
      <c r="A52" s="22" t="s">
        <v>523</v>
      </c>
      <c r="B52" s="22"/>
    </row>
    <row r="54" spans="1:2">
      <c r="A54" s="19" t="s">
        <v>406</v>
      </c>
    </row>
    <row r="56" spans="1:2">
      <c r="A56" s="22" t="s">
        <v>407</v>
      </c>
    </row>
    <row r="58" spans="1:2">
      <c r="A58" s="22">
        <v>3</v>
      </c>
    </row>
    <row r="60" spans="1:2">
      <c r="A60" s="22" t="s">
        <v>1024</v>
      </c>
      <c r="B60" s="22"/>
    </row>
    <row r="62" spans="1:2">
      <c r="A62" s="22" t="s">
        <v>665</v>
      </c>
      <c r="B62" s="22"/>
    </row>
    <row r="64" spans="1:2">
      <c r="A64" s="19" t="s">
        <v>406</v>
      </c>
    </row>
    <row r="66" spans="1:2">
      <c r="A66" s="22" t="s">
        <v>407</v>
      </c>
    </row>
    <row r="68" spans="1:2">
      <c r="A68" s="22">
        <v>2</v>
      </c>
    </row>
    <row r="70" spans="1:2">
      <c r="A70" s="22" t="s">
        <v>1025</v>
      </c>
      <c r="B70" s="22"/>
    </row>
    <row r="72" spans="1:2">
      <c r="A72" s="22" t="s">
        <v>510</v>
      </c>
      <c r="B72" s="22"/>
    </row>
    <row r="74" spans="1:2">
      <c r="A74" s="19" t="s">
        <v>406</v>
      </c>
    </row>
    <row r="76" spans="1:2">
      <c r="A76" s="22" t="s">
        <v>407</v>
      </c>
    </row>
    <row r="78" spans="1:2">
      <c r="A78" s="22">
        <v>2</v>
      </c>
    </row>
    <row r="80" spans="1:2">
      <c r="A80" s="22" t="s">
        <v>1026</v>
      </c>
      <c r="B80" s="22"/>
    </row>
    <row r="82" spans="1:2">
      <c r="A82" s="22" t="s">
        <v>504</v>
      </c>
      <c r="B82" s="22"/>
    </row>
    <row r="84" spans="1:2">
      <c r="A84" s="19" t="s">
        <v>406</v>
      </c>
    </row>
    <row r="86" spans="1:2">
      <c r="A86" s="22" t="s">
        <v>407</v>
      </c>
    </row>
    <row r="88" spans="1:2">
      <c r="A88" s="22">
        <v>2</v>
      </c>
    </row>
    <row r="90" spans="1:2">
      <c r="A90" s="22" t="s">
        <v>1027</v>
      </c>
      <c r="B90" s="22"/>
    </row>
    <row r="92" spans="1:2">
      <c r="A92" s="22" t="s">
        <v>641</v>
      </c>
      <c r="B92" s="22"/>
    </row>
    <row r="94" spans="1:2">
      <c r="A94" s="19" t="s">
        <v>2112</v>
      </c>
      <c r="B94" s="19"/>
    </row>
    <row r="96" spans="1:2">
      <c r="A96" s="22" t="s">
        <v>133</v>
      </c>
    </row>
    <row r="97" spans="1:2">
      <c r="A97" s="22" t="s">
        <v>131</v>
      </c>
      <c r="B97" s="22"/>
    </row>
    <row r="98" spans="1:2">
      <c r="A98" s="22" t="s">
        <v>389</v>
      </c>
      <c r="B98" s="22"/>
    </row>
    <row r="100" spans="1:2">
      <c r="A100" s="19" t="s">
        <v>400</v>
      </c>
      <c r="B100" s="19"/>
    </row>
    <row r="102" spans="1:2">
      <c r="A102" s="19" t="s">
        <v>2110</v>
      </c>
      <c r="B102" s="19"/>
    </row>
    <row r="104" spans="1:2">
      <c r="A104" s="22" t="s">
        <v>1028</v>
      </c>
      <c r="B104" s="22"/>
    </row>
    <row r="106" spans="1:2">
      <c r="A106" s="19" t="s">
        <v>406</v>
      </c>
    </row>
    <row r="108" spans="1:2">
      <c r="A108" s="22" t="s">
        <v>407</v>
      </c>
    </row>
    <row r="110" spans="1:2">
      <c r="A110" s="22">
        <v>2</v>
      </c>
    </row>
    <row r="112" spans="1:2">
      <c r="A112" s="22" t="s">
        <v>1029</v>
      </c>
      <c r="B112" s="22"/>
    </row>
    <row r="114" spans="1:2">
      <c r="A114" s="22" t="s">
        <v>458</v>
      </c>
      <c r="B114" s="22"/>
    </row>
    <row r="116" spans="1:2">
      <c r="A116" s="19" t="s">
        <v>423</v>
      </c>
    </row>
    <row r="118" spans="1:2">
      <c r="A118" s="19" t="s">
        <v>424</v>
      </c>
    </row>
    <row r="120" spans="1:2">
      <c r="A120" s="22" t="s">
        <v>407</v>
      </c>
    </row>
    <row r="122" spans="1:2">
      <c r="A122" s="22">
        <v>6</v>
      </c>
    </row>
    <row r="124" spans="1:2">
      <c r="A124" s="22" t="s">
        <v>1030</v>
      </c>
      <c r="B124" s="22"/>
    </row>
    <row r="126" spans="1:2">
      <c r="A126" s="22" t="s">
        <v>469</v>
      </c>
      <c r="B126" s="22"/>
    </row>
    <row r="128" spans="1:2">
      <c r="A128" s="19" t="s">
        <v>423</v>
      </c>
    </row>
    <row r="130" spans="1:2">
      <c r="A130" s="19" t="s">
        <v>424</v>
      </c>
    </row>
    <row r="132" spans="1:2">
      <c r="A132" s="22" t="s">
        <v>407</v>
      </c>
    </row>
    <row r="134" spans="1:2">
      <c r="A134" s="22">
        <v>2</v>
      </c>
    </row>
    <row r="136" spans="1:2">
      <c r="A136" s="22" t="s">
        <v>1031</v>
      </c>
      <c r="B136" s="22"/>
    </row>
    <row r="138" spans="1:2">
      <c r="A138" s="22" t="s">
        <v>448</v>
      </c>
      <c r="B138" s="22"/>
    </row>
    <row r="140" spans="1:2">
      <c r="A140" s="19" t="s">
        <v>423</v>
      </c>
    </row>
    <row r="142" spans="1:2">
      <c r="A142" s="19" t="s">
        <v>424</v>
      </c>
    </row>
    <row r="144" spans="1:2">
      <c r="A144" s="22" t="s">
        <v>407</v>
      </c>
    </row>
    <row r="146" spans="1:2">
      <c r="A146" s="22">
        <v>3</v>
      </c>
    </row>
    <row r="148" spans="1:2">
      <c r="A148" s="22" t="s">
        <v>1032</v>
      </c>
      <c r="B148" s="22"/>
    </row>
    <row r="150" spans="1:2">
      <c r="A150" s="22" t="s">
        <v>548</v>
      </c>
      <c r="B150" s="22"/>
    </row>
    <row r="152" spans="1:2">
      <c r="A152" s="19" t="s">
        <v>423</v>
      </c>
    </row>
    <row r="154" spans="1:2">
      <c r="A154" s="19" t="s">
        <v>424</v>
      </c>
    </row>
    <row r="156" spans="1:2">
      <c r="A156" s="22" t="s">
        <v>407</v>
      </c>
    </row>
    <row r="158" spans="1:2">
      <c r="A158" s="22">
        <v>2</v>
      </c>
    </row>
    <row r="160" spans="1:2">
      <c r="A160" s="22" t="s">
        <v>1033</v>
      </c>
      <c r="B160" s="22"/>
    </row>
    <row r="162" spans="1:2">
      <c r="A162" s="22" t="s">
        <v>764</v>
      </c>
      <c r="B162" s="22"/>
    </row>
    <row r="164" spans="1:2">
      <c r="A164" s="19" t="s">
        <v>423</v>
      </c>
    </row>
    <row r="166" spans="1:2">
      <c r="A166" s="19" t="s">
        <v>424</v>
      </c>
    </row>
    <row r="168" spans="1:2">
      <c r="A168" s="22" t="s">
        <v>407</v>
      </c>
    </row>
    <row r="170" spans="1:2">
      <c r="A170" s="22">
        <v>2</v>
      </c>
    </row>
    <row r="172" spans="1:2">
      <c r="A172" s="22" t="s">
        <v>1034</v>
      </c>
      <c r="B172" s="22"/>
    </row>
    <row r="174" spans="1:2">
      <c r="A174" s="22" t="s">
        <v>504</v>
      </c>
      <c r="B174" s="22"/>
    </row>
    <row r="176" spans="1:2">
      <c r="A176" s="19" t="s">
        <v>423</v>
      </c>
    </row>
    <row r="178" spans="1:2">
      <c r="A178" s="19" t="s">
        <v>424</v>
      </c>
    </row>
    <row r="180" spans="1:2">
      <c r="A180" s="22" t="s">
        <v>407</v>
      </c>
    </row>
    <row r="182" spans="1:2">
      <c r="A182" s="22">
        <v>2</v>
      </c>
    </row>
    <row r="184" spans="1:2">
      <c r="A184" s="22" t="s">
        <v>1035</v>
      </c>
      <c r="B184" s="22"/>
    </row>
    <row r="186" spans="1:2">
      <c r="A186" s="22" t="s">
        <v>747</v>
      </c>
      <c r="B186" s="22"/>
    </row>
    <row r="188" spans="1:2">
      <c r="A188" s="19" t="s">
        <v>423</v>
      </c>
    </row>
    <row r="190" spans="1:2">
      <c r="A190" s="19" t="s">
        <v>424</v>
      </c>
    </row>
    <row r="192" spans="1:2">
      <c r="A192" s="22" t="s">
        <v>407</v>
      </c>
    </row>
    <row r="194" spans="1:2">
      <c r="A194" s="22">
        <v>3</v>
      </c>
    </row>
    <row r="196" spans="1:2">
      <c r="A196" s="19" t="s">
        <v>2113</v>
      </c>
      <c r="B196" s="19"/>
    </row>
    <row r="198" spans="1:2">
      <c r="A198" s="22" t="s">
        <v>133</v>
      </c>
    </row>
    <row r="199" spans="1:2">
      <c r="A199" s="22" t="s">
        <v>131</v>
      </c>
      <c r="B199" s="22"/>
    </row>
    <row r="200" spans="1:2">
      <c r="A200" s="22" t="s">
        <v>389</v>
      </c>
      <c r="B200" s="22"/>
    </row>
    <row r="202" spans="1:2">
      <c r="A202" s="19" t="s">
        <v>400</v>
      </c>
      <c r="B202" s="19"/>
    </row>
    <row r="204" spans="1:2">
      <c r="A204" s="19" t="s">
        <v>2110</v>
      </c>
      <c r="B204" s="19"/>
    </row>
    <row r="206" spans="1:2">
      <c r="A206" s="22" t="s">
        <v>1028</v>
      </c>
      <c r="B206" s="22"/>
    </row>
    <row r="208" spans="1:2">
      <c r="A208" s="22" t="s">
        <v>1036</v>
      </c>
      <c r="B208" s="22"/>
    </row>
    <row r="210" spans="1:2">
      <c r="A210" s="22" t="s">
        <v>1037</v>
      </c>
      <c r="B210" s="22"/>
    </row>
    <row r="212" spans="1:2">
      <c r="A212" s="19" t="s">
        <v>406</v>
      </c>
    </row>
    <row r="214" spans="1:2">
      <c r="A214" s="22" t="s">
        <v>407</v>
      </c>
    </row>
    <row r="216" spans="1:2">
      <c r="A216" s="22">
        <v>3</v>
      </c>
    </row>
    <row r="218" spans="1:2">
      <c r="A218" s="22" t="s">
        <v>1038</v>
      </c>
      <c r="B218" s="22"/>
    </row>
    <row r="220" spans="1:2">
      <c r="A220" s="22" t="s">
        <v>411</v>
      </c>
      <c r="B220" s="22"/>
    </row>
    <row r="222" spans="1:2">
      <c r="A222" s="19" t="s">
        <v>423</v>
      </c>
    </row>
    <row r="224" spans="1:2">
      <c r="A224" s="19" t="s">
        <v>424</v>
      </c>
    </row>
    <row r="226" spans="1:2">
      <c r="A226" s="22" t="s">
        <v>407</v>
      </c>
    </row>
    <row r="228" spans="1:2">
      <c r="A228" s="22">
        <v>2</v>
      </c>
    </row>
    <row r="230" spans="1:2">
      <c r="A230" s="22" t="s">
        <v>1039</v>
      </c>
      <c r="B230" s="22"/>
    </row>
    <row r="232" spans="1:2">
      <c r="A232" s="22" t="s">
        <v>416</v>
      </c>
      <c r="B232" s="22"/>
    </row>
    <row r="234" spans="1:2">
      <c r="A234" s="19" t="s">
        <v>423</v>
      </c>
    </row>
    <row r="236" spans="1:2">
      <c r="A236" s="19" t="s">
        <v>424</v>
      </c>
    </row>
    <row r="238" spans="1:2">
      <c r="A238" s="22" t="s">
        <v>407</v>
      </c>
    </row>
    <row r="240" spans="1:2">
      <c r="A240" s="22">
        <v>3</v>
      </c>
    </row>
    <row r="242" spans="1:2">
      <c r="A242" s="22" t="s">
        <v>1040</v>
      </c>
      <c r="B242" s="22"/>
    </row>
    <row r="244" spans="1:2">
      <c r="A244" s="22" t="s">
        <v>416</v>
      </c>
      <c r="B244" s="22"/>
    </row>
    <row r="246" spans="1:2">
      <c r="A246" s="19" t="s">
        <v>423</v>
      </c>
    </row>
    <row r="248" spans="1:2">
      <c r="A248" s="19" t="s">
        <v>424</v>
      </c>
    </row>
    <row r="250" spans="1:2">
      <c r="A250" s="22" t="s">
        <v>407</v>
      </c>
    </row>
    <row r="252" spans="1:2">
      <c r="A252" s="22">
        <v>3</v>
      </c>
    </row>
    <row r="254" spans="1:2">
      <c r="A254" s="22" t="s">
        <v>1041</v>
      </c>
      <c r="B254" s="22"/>
    </row>
    <row r="256" spans="1:2">
      <c r="A256" s="22" t="s">
        <v>679</v>
      </c>
      <c r="B256" s="22"/>
    </row>
    <row r="258" spans="1:2">
      <c r="A258" s="19" t="s">
        <v>423</v>
      </c>
    </row>
    <row r="260" spans="1:2">
      <c r="A260" s="19" t="s">
        <v>424</v>
      </c>
    </row>
    <row r="262" spans="1:2">
      <c r="A262" s="22" t="s">
        <v>407</v>
      </c>
    </row>
    <row r="264" spans="1:2">
      <c r="A264" s="22">
        <v>2</v>
      </c>
    </row>
    <row r="266" spans="1:2">
      <c r="A266" s="22" t="s">
        <v>1042</v>
      </c>
      <c r="B266" s="22"/>
    </row>
    <row r="268" spans="1:2">
      <c r="A268" s="22" t="s">
        <v>456</v>
      </c>
      <c r="B268" s="22"/>
    </row>
    <row r="270" spans="1:2">
      <c r="A270" s="19" t="s">
        <v>423</v>
      </c>
    </row>
    <row r="272" spans="1:2">
      <c r="A272" s="19" t="s">
        <v>424</v>
      </c>
    </row>
    <row r="274" spans="1:2">
      <c r="A274" s="22" t="s">
        <v>407</v>
      </c>
    </row>
    <row r="276" spans="1:2">
      <c r="A276" s="22">
        <v>3</v>
      </c>
    </row>
    <row r="278" spans="1:2">
      <c r="A278" s="22" t="s">
        <v>1043</v>
      </c>
      <c r="B278" s="22"/>
    </row>
    <row r="280" spans="1:2">
      <c r="A280" s="22" t="s">
        <v>659</v>
      </c>
      <c r="B280" s="22"/>
    </row>
    <row r="282" spans="1:2">
      <c r="A282" s="19" t="s">
        <v>423</v>
      </c>
    </row>
    <row r="284" spans="1:2">
      <c r="A284" s="19" t="s">
        <v>424</v>
      </c>
    </row>
    <row r="286" spans="1:2">
      <c r="A286" s="22" t="s">
        <v>407</v>
      </c>
    </row>
    <row r="288" spans="1:2">
      <c r="A288" s="22">
        <v>10</v>
      </c>
    </row>
    <row r="290" spans="1:2">
      <c r="A290" s="22" t="s">
        <v>1044</v>
      </c>
      <c r="B290" s="22"/>
    </row>
    <row r="292" spans="1:2">
      <c r="A292" s="22" t="s">
        <v>428</v>
      </c>
      <c r="B292" s="22"/>
    </row>
    <row r="294" spans="1:2">
      <c r="A294" s="19" t="s">
        <v>423</v>
      </c>
    </row>
    <row r="296" spans="1:2">
      <c r="A296" s="19" t="s">
        <v>424</v>
      </c>
    </row>
    <row r="298" spans="1:2">
      <c r="A298" s="22" t="s">
        <v>407</v>
      </c>
    </row>
    <row r="300" spans="1:2">
      <c r="A300" s="22">
        <v>3</v>
      </c>
    </row>
    <row r="302" spans="1:2">
      <c r="A302" s="19" t="s">
        <v>2114</v>
      </c>
      <c r="B302" s="19"/>
    </row>
    <row r="304" spans="1:2">
      <c r="A304" s="22" t="s">
        <v>133</v>
      </c>
    </row>
    <row r="305" spans="1:2">
      <c r="A305" s="22" t="s">
        <v>131</v>
      </c>
      <c r="B305" s="22"/>
    </row>
    <row r="306" spans="1:2">
      <c r="A306" s="22" t="s">
        <v>389</v>
      </c>
      <c r="B306" s="22"/>
    </row>
    <row r="308" spans="1:2">
      <c r="A308" s="19" t="s">
        <v>400</v>
      </c>
      <c r="B308" s="19"/>
    </row>
    <row r="310" spans="1:2">
      <c r="A310" s="19" t="s">
        <v>2110</v>
      </c>
      <c r="B310" s="19"/>
    </row>
    <row r="312" spans="1:2">
      <c r="A312" s="22" t="s">
        <v>1028</v>
      </c>
      <c r="B312" s="22"/>
    </row>
    <row r="314" spans="1:2">
      <c r="A314" s="22" t="s">
        <v>1045</v>
      </c>
      <c r="B314" s="22"/>
    </row>
    <row r="316" spans="1:2">
      <c r="A316" s="22" t="s">
        <v>422</v>
      </c>
      <c r="B316" s="22"/>
    </row>
    <row r="318" spans="1:2">
      <c r="A318" s="19" t="s">
        <v>406</v>
      </c>
    </row>
    <row r="320" spans="1:2">
      <c r="A320" s="22" t="s">
        <v>407</v>
      </c>
    </row>
    <row r="322" spans="1:2">
      <c r="A322" s="22">
        <v>1</v>
      </c>
    </row>
    <row r="324" spans="1:2">
      <c r="A324" s="22" t="s">
        <v>1046</v>
      </c>
      <c r="B324" s="22"/>
    </row>
    <row r="326" spans="1:2">
      <c r="A326" s="22" t="s">
        <v>430</v>
      </c>
      <c r="B326" s="22"/>
    </row>
    <row r="328" spans="1:2">
      <c r="A328" s="19" t="s">
        <v>423</v>
      </c>
    </row>
    <row r="330" spans="1:2">
      <c r="A330" s="19" t="s">
        <v>424</v>
      </c>
    </row>
    <row r="332" spans="1:2">
      <c r="A332" s="22" t="s">
        <v>407</v>
      </c>
    </row>
    <row r="334" spans="1:2">
      <c r="A334" s="22">
        <v>1</v>
      </c>
    </row>
    <row r="336" spans="1:2">
      <c r="A336" s="22" t="s">
        <v>1047</v>
      </c>
      <c r="B336" s="22"/>
    </row>
    <row r="338" spans="1:2">
      <c r="A338" s="22" t="s">
        <v>432</v>
      </c>
      <c r="B338" s="22"/>
    </row>
    <row r="340" spans="1:2">
      <c r="A340" s="19" t="s">
        <v>423</v>
      </c>
    </row>
    <row r="342" spans="1:2">
      <c r="A342" s="19" t="s">
        <v>424</v>
      </c>
    </row>
    <row r="344" spans="1:2">
      <c r="A344" s="22" t="s">
        <v>407</v>
      </c>
    </row>
    <row r="346" spans="1:2">
      <c r="A346" s="22">
        <v>1</v>
      </c>
    </row>
    <row r="348" spans="1:2">
      <c r="A348" s="22" t="s">
        <v>1048</v>
      </c>
      <c r="B348" s="22"/>
    </row>
    <row r="350" spans="1:2">
      <c r="A350" s="22" t="s">
        <v>432</v>
      </c>
      <c r="B350" s="22"/>
    </row>
    <row r="352" spans="1:2">
      <c r="A352" s="19" t="s">
        <v>423</v>
      </c>
    </row>
    <row r="354" spans="1:2">
      <c r="A354" s="19" t="s">
        <v>424</v>
      </c>
    </row>
    <row r="356" spans="1:2">
      <c r="A356" s="22" t="s">
        <v>407</v>
      </c>
    </row>
    <row r="358" spans="1:2">
      <c r="A358" s="22">
        <v>1</v>
      </c>
    </row>
    <row r="360" spans="1:2">
      <c r="A360" s="22" t="s">
        <v>1049</v>
      </c>
      <c r="B360" s="22"/>
    </row>
    <row r="362" spans="1:2">
      <c r="A362" s="22" t="s">
        <v>438</v>
      </c>
      <c r="B362" s="22"/>
    </row>
    <row r="364" spans="1:2">
      <c r="A364" s="19" t="s">
        <v>423</v>
      </c>
    </row>
    <row r="366" spans="1:2">
      <c r="A366" s="19" t="s">
        <v>424</v>
      </c>
    </row>
    <row r="368" spans="1:2">
      <c r="A368" s="22" t="s">
        <v>407</v>
      </c>
    </row>
    <row r="370" spans="1:2">
      <c r="A370" s="22">
        <v>2</v>
      </c>
    </row>
    <row r="372" spans="1:2">
      <c r="A372" s="22" t="s">
        <v>1050</v>
      </c>
      <c r="B372" s="22"/>
    </row>
    <row r="374" spans="1:2">
      <c r="A374" s="22" t="s">
        <v>418</v>
      </c>
      <c r="B374" s="22"/>
    </row>
    <row r="376" spans="1:2">
      <c r="A376" s="19" t="s">
        <v>423</v>
      </c>
    </row>
    <row r="378" spans="1:2">
      <c r="A378" s="19" t="s">
        <v>424</v>
      </c>
    </row>
    <row r="380" spans="1:2">
      <c r="A380" s="22" t="s">
        <v>407</v>
      </c>
    </row>
    <row r="382" spans="1:2">
      <c r="A382" s="22">
        <v>3</v>
      </c>
    </row>
    <row r="384" spans="1:2">
      <c r="A384" s="22" t="s">
        <v>1051</v>
      </c>
      <c r="B384" s="22"/>
    </row>
    <row r="386" spans="1:2">
      <c r="A386" s="22" t="s">
        <v>418</v>
      </c>
      <c r="B386" s="22"/>
    </row>
    <row r="388" spans="1:2">
      <c r="A388" s="19" t="s">
        <v>423</v>
      </c>
    </row>
    <row r="390" spans="1:2">
      <c r="A390" s="19" t="s">
        <v>424</v>
      </c>
    </row>
    <row r="392" spans="1:2">
      <c r="A392" s="22" t="s">
        <v>407</v>
      </c>
    </row>
    <row r="394" spans="1:2">
      <c r="A394" s="22">
        <v>3</v>
      </c>
    </row>
    <row r="396" spans="1:2">
      <c r="A396" s="22" t="s">
        <v>1052</v>
      </c>
      <c r="B396" s="22"/>
    </row>
    <row r="398" spans="1:2">
      <c r="A398" s="22" t="s">
        <v>1053</v>
      </c>
      <c r="B398" s="22"/>
    </row>
    <row r="400" spans="1:2">
      <c r="A400" s="19" t="s">
        <v>423</v>
      </c>
    </row>
    <row r="402" spans="1:2">
      <c r="A402" s="19" t="s">
        <v>424</v>
      </c>
    </row>
    <row r="404" spans="1:2">
      <c r="A404" s="22" t="s">
        <v>407</v>
      </c>
    </row>
    <row r="406" spans="1:2">
      <c r="A406" s="22">
        <v>3</v>
      </c>
    </row>
    <row r="408" spans="1:2">
      <c r="A408" s="19" t="s">
        <v>2115</v>
      </c>
      <c r="B408" s="19"/>
    </row>
    <row r="410" spans="1:2">
      <c r="A410" s="22" t="s">
        <v>133</v>
      </c>
    </row>
    <row r="411" spans="1:2">
      <c r="A411" s="22" t="s">
        <v>131</v>
      </c>
      <c r="B411" s="22"/>
    </row>
    <row r="412" spans="1:2">
      <c r="A412" s="22" t="s">
        <v>389</v>
      </c>
      <c r="B412" s="22"/>
    </row>
    <row r="414" spans="1:2">
      <c r="A414" s="19" t="s">
        <v>400</v>
      </c>
      <c r="B414" s="19"/>
    </row>
    <row r="416" spans="1:2">
      <c r="A416" s="19" t="s">
        <v>2110</v>
      </c>
      <c r="B416" s="19"/>
    </row>
    <row r="418" spans="1:2">
      <c r="A418" s="22" t="s">
        <v>1028</v>
      </c>
      <c r="B418" s="22"/>
    </row>
    <row r="420" spans="1:2">
      <c r="A420" s="22" t="s">
        <v>1054</v>
      </c>
      <c r="B420" s="22"/>
    </row>
    <row r="422" spans="1:2">
      <c r="A422" s="22" t="s">
        <v>430</v>
      </c>
      <c r="B422" s="22"/>
    </row>
    <row r="424" spans="1:2">
      <c r="A424" s="19" t="s">
        <v>406</v>
      </c>
    </row>
    <row r="426" spans="1:2">
      <c r="A426" s="22" t="s">
        <v>407</v>
      </c>
    </row>
    <row r="428" spans="1:2">
      <c r="A428" s="22">
        <v>2</v>
      </c>
    </row>
    <row r="430" spans="1:2">
      <c r="A430" s="22" t="s">
        <v>1055</v>
      </c>
      <c r="B430" s="22"/>
    </row>
    <row r="432" spans="1:2">
      <c r="A432" s="22" t="s">
        <v>1056</v>
      </c>
      <c r="B432" s="22"/>
    </row>
    <row r="434" spans="1:2">
      <c r="A434" s="19" t="s">
        <v>423</v>
      </c>
    </row>
    <row r="436" spans="1:2">
      <c r="A436" s="19" t="s">
        <v>424</v>
      </c>
    </row>
    <row r="438" spans="1:2">
      <c r="A438" s="22" t="s">
        <v>407</v>
      </c>
    </row>
    <row r="440" spans="1:2">
      <c r="A440" s="22">
        <v>3</v>
      </c>
    </row>
    <row r="442" spans="1:2">
      <c r="A442" s="22" t="s">
        <v>1057</v>
      </c>
      <c r="B442" s="22"/>
    </row>
    <row r="444" spans="1:2">
      <c r="A444" s="22" t="s">
        <v>428</v>
      </c>
      <c r="B444" s="22"/>
    </row>
    <row r="446" spans="1:2">
      <c r="A446" s="19" t="s">
        <v>423</v>
      </c>
    </row>
    <row r="448" spans="1:2">
      <c r="A448" s="19" t="s">
        <v>424</v>
      </c>
    </row>
    <row r="450" spans="1:2">
      <c r="A450" s="22" t="s">
        <v>407</v>
      </c>
    </row>
    <row r="452" spans="1:2">
      <c r="A452" s="22">
        <v>4</v>
      </c>
    </row>
    <row r="454" spans="1:2">
      <c r="A454" s="22" t="s">
        <v>1058</v>
      </c>
      <c r="B454" s="22"/>
    </row>
    <row r="456" spans="1:2">
      <c r="A456" s="22" t="s">
        <v>418</v>
      </c>
      <c r="B456" s="22"/>
    </row>
    <row r="458" spans="1:2">
      <c r="A458" s="19" t="s">
        <v>423</v>
      </c>
    </row>
    <row r="460" spans="1:2">
      <c r="A460" s="19" t="s">
        <v>424</v>
      </c>
    </row>
    <row r="462" spans="1:2">
      <c r="A462" s="22" t="s">
        <v>407</v>
      </c>
    </row>
    <row r="464" spans="1:2">
      <c r="A464" s="22">
        <v>3</v>
      </c>
    </row>
    <row r="466" spans="1:2">
      <c r="A466" s="22" t="s">
        <v>1059</v>
      </c>
      <c r="B466" s="22"/>
    </row>
    <row r="468" spans="1:2">
      <c r="A468" s="22" t="s">
        <v>428</v>
      </c>
      <c r="B468" s="22"/>
    </row>
    <row r="470" spans="1:2">
      <c r="A470" s="19" t="s">
        <v>423</v>
      </c>
    </row>
    <row r="472" spans="1:2">
      <c r="A472" s="19" t="s">
        <v>424</v>
      </c>
    </row>
    <row r="474" spans="1:2">
      <c r="A474" s="22" t="s">
        <v>407</v>
      </c>
    </row>
    <row r="476" spans="1:2">
      <c r="A476" s="22">
        <v>3</v>
      </c>
    </row>
    <row r="478" spans="1:2">
      <c r="A478" s="22" t="s">
        <v>1060</v>
      </c>
      <c r="B478" s="22"/>
    </row>
    <row r="480" spans="1:2">
      <c r="A480" s="22" t="s">
        <v>428</v>
      </c>
      <c r="B480" s="22"/>
    </row>
    <row r="482" spans="1:2">
      <c r="A482" s="19" t="s">
        <v>423</v>
      </c>
    </row>
    <row r="484" spans="1:2">
      <c r="A484" s="19" t="s">
        <v>424</v>
      </c>
    </row>
    <row r="486" spans="1:2">
      <c r="A486" s="22" t="s">
        <v>407</v>
      </c>
    </row>
    <row r="488" spans="1:2">
      <c r="A488" s="22">
        <v>3</v>
      </c>
    </row>
    <row r="490" spans="1:2">
      <c r="A490" s="22" t="s">
        <v>1061</v>
      </c>
      <c r="B490" s="22"/>
    </row>
    <row r="492" spans="1:2">
      <c r="A492" s="22" t="s">
        <v>495</v>
      </c>
      <c r="B492" s="22"/>
    </row>
    <row r="494" spans="1:2">
      <c r="A494" s="19" t="s">
        <v>423</v>
      </c>
    </row>
    <row r="496" spans="1:2">
      <c r="A496" s="19" t="s">
        <v>424</v>
      </c>
    </row>
    <row r="498" spans="1:2">
      <c r="A498" s="22" t="s">
        <v>407</v>
      </c>
    </row>
    <row r="500" spans="1:2">
      <c r="A500" s="22">
        <v>6</v>
      </c>
    </row>
    <row r="502" spans="1:2">
      <c r="A502" s="22" t="s">
        <v>1062</v>
      </c>
      <c r="B502" s="22"/>
    </row>
    <row r="504" spans="1:2">
      <c r="A504" s="22" t="s">
        <v>1063</v>
      </c>
      <c r="B504" s="22"/>
    </row>
    <row r="506" spans="1:2">
      <c r="A506" s="19" t="s">
        <v>423</v>
      </c>
    </row>
    <row r="508" spans="1:2">
      <c r="A508" s="19" t="s">
        <v>424</v>
      </c>
    </row>
    <row r="510" spans="1:2">
      <c r="A510" s="22" t="s">
        <v>407</v>
      </c>
    </row>
    <row r="512" spans="1:2">
      <c r="A512" s="22">
        <v>4</v>
      </c>
    </row>
    <row r="514" spans="1:2">
      <c r="A514" s="19" t="s">
        <v>2116</v>
      </c>
      <c r="B514" s="19"/>
    </row>
    <row r="516" spans="1:2">
      <c r="A516" s="22" t="s">
        <v>133</v>
      </c>
    </row>
    <row r="517" spans="1:2">
      <c r="A517" s="22" t="s">
        <v>131</v>
      </c>
      <c r="B517" s="22"/>
    </row>
    <row r="518" spans="1:2">
      <c r="A518" s="22" t="s">
        <v>389</v>
      </c>
      <c r="B518" s="22"/>
    </row>
    <row r="520" spans="1:2">
      <c r="A520" s="19" t="s">
        <v>400</v>
      </c>
      <c r="B520" s="19"/>
    </row>
    <row r="522" spans="1:2">
      <c r="A522" s="19" t="s">
        <v>2110</v>
      </c>
      <c r="B522" s="19"/>
    </row>
    <row r="524" spans="1:2">
      <c r="A524" s="22" t="s">
        <v>1028</v>
      </c>
      <c r="B524" s="22"/>
    </row>
    <row r="526" spans="1:2">
      <c r="A526" s="22" t="s">
        <v>1064</v>
      </c>
      <c r="B526" s="22"/>
    </row>
    <row r="528" spans="1:2">
      <c r="A528" s="22" t="s">
        <v>829</v>
      </c>
      <c r="B528" s="22"/>
    </row>
    <row r="530" spans="1:2">
      <c r="A530" s="19" t="s">
        <v>406</v>
      </c>
    </row>
    <row r="532" spans="1:2">
      <c r="A532" s="22" t="s">
        <v>407</v>
      </c>
    </row>
    <row r="534" spans="1:2">
      <c r="A534" s="22">
        <v>2</v>
      </c>
    </row>
    <row r="536" spans="1:2">
      <c r="A536" s="22" t="s">
        <v>1065</v>
      </c>
      <c r="B536" s="22"/>
    </row>
    <row r="538" spans="1:2">
      <c r="A538" s="22" t="s">
        <v>446</v>
      </c>
      <c r="B538" s="22"/>
    </row>
    <row r="540" spans="1:2">
      <c r="A540" s="19" t="s">
        <v>423</v>
      </c>
    </row>
    <row r="542" spans="1:2">
      <c r="A542" s="19" t="s">
        <v>424</v>
      </c>
    </row>
    <row r="544" spans="1:2">
      <c r="A544" s="22" t="s">
        <v>407</v>
      </c>
    </row>
    <row r="546" spans="1:2">
      <c r="A546" s="22">
        <v>3</v>
      </c>
    </row>
    <row r="548" spans="1:2">
      <c r="A548" s="22" t="s">
        <v>1066</v>
      </c>
      <c r="B548" s="22"/>
    </row>
    <row r="550" spans="1:2">
      <c r="A550" s="22" t="s">
        <v>458</v>
      </c>
      <c r="B550" s="22"/>
    </row>
    <row r="552" spans="1:2">
      <c r="A552" s="19" t="s">
        <v>423</v>
      </c>
    </row>
    <row r="554" spans="1:2">
      <c r="A554" s="19" t="s">
        <v>424</v>
      </c>
    </row>
    <row r="556" spans="1:2">
      <c r="A556" s="22" t="s">
        <v>407</v>
      </c>
    </row>
    <row r="558" spans="1:2">
      <c r="A558" s="22">
        <v>4</v>
      </c>
    </row>
    <row r="560" spans="1:2">
      <c r="A560" s="22" t="s">
        <v>1067</v>
      </c>
      <c r="B560" s="22"/>
    </row>
    <row r="562" spans="1:2">
      <c r="A562" s="22" t="s">
        <v>715</v>
      </c>
      <c r="B562" s="22"/>
    </row>
    <row r="564" spans="1:2">
      <c r="A564" s="19" t="s">
        <v>423</v>
      </c>
    </row>
    <row r="566" spans="1:2">
      <c r="A566" s="19" t="s">
        <v>424</v>
      </c>
    </row>
    <row r="568" spans="1:2">
      <c r="A568" s="22" t="s">
        <v>407</v>
      </c>
    </row>
    <row r="570" spans="1:2">
      <c r="A570" s="22">
        <v>3</v>
      </c>
    </row>
    <row r="572" spans="1:2">
      <c r="A572" s="22" t="s">
        <v>1068</v>
      </c>
      <c r="B572" s="22"/>
    </row>
    <row r="574" spans="1:2">
      <c r="A574" s="22" t="s">
        <v>446</v>
      </c>
      <c r="B574" s="22"/>
    </row>
    <row r="576" spans="1:2">
      <c r="A576" s="19" t="s">
        <v>423</v>
      </c>
    </row>
    <row r="578" spans="1:2">
      <c r="A578" s="19" t="s">
        <v>424</v>
      </c>
    </row>
    <row r="580" spans="1:2">
      <c r="A580" s="22" t="s">
        <v>407</v>
      </c>
    </row>
    <row r="582" spans="1:2">
      <c r="A582" s="22">
        <v>2</v>
      </c>
    </row>
    <row r="584" spans="1:2">
      <c r="A584" s="22" t="s">
        <v>1069</v>
      </c>
      <c r="B584" s="22"/>
    </row>
    <row r="586" spans="1:2">
      <c r="A586" s="22" t="s">
        <v>1070</v>
      </c>
      <c r="B586" s="22"/>
    </row>
    <row r="588" spans="1:2">
      <c r="A588" s="19" t="s">
        <v>423</v>
      </c>
    </row>
    <row r="590" spans="1:2">
      <c r="A590" s="19" t="s">
        <v>424</v>
      </c>
    </row>
    <row r="592" spans="1:2">
      <c r="A592" s="22" t="s">
        <v>407</v>
      </c>
    </row>
    <row r="594" spans="1:2">
      <c r="A594" s="22">
        <v>4</v>
      </c>
    </row>
    <row r="596" spans="1:2">
      <c r="A596" s="22" t="s">
        <v>1071</v>
      </c>
      <c r="B596" s="22"/>
    </row>
    <row r="598" spans="1:2">
      <c r="A598" s="22" t="s">
        <v>464</v>
      </c>
      <c r="B598" s="22"/>
    </row>
    <row r="600" spans="1:2">
      <c r="A600" s="19" t="s">
        <v>423</v>
      </c>
    </row>
    <row r="602" spans="1:2">
      <c r="A602" s="19" t="s">
        <v>424</v>
      </c>
    </row>
    <row r="604" spans="1:2">
      <c r="A604" s="22" t="s">
        <v>407</v>
      </c>
    </row>
    <row r="606" spans="1:2">
      <c r="A606" s="22">
        <v>3</v>
      </c>
    </row>
    <row r="608" spans="1:2">
      <c r="A608" s="22" t="s">
        <v>1072</v>
      </c>
      <c r="B608" s="22"/>
    </row>
    <row r="610" spans="1:2">
      <c r="A610" s="22" t="s">
        <v>523</v>
      </c>
      <c r="B610" s="22"/>
    </row>
    <row r="612" spans="1:2">
      <c r="A612" s="19" t="s">
        <v>423</v>
      </c>
    </row>
    <row r="614" spans="1:2">
      <c r="A614" s="19" t="s">
        <v>424</v>
      </c>
    </row>
    <row r="616" spans="1:2">
      <c r="A616" s="22" t="s">
        <v>407</v>
      </c>
    </row>
    <row r="618" spans="1:2">
      <c r="A618" s="22">
        <v>3</v>
      </c>
    </row>
    <row r="620" spans="1:2">
      <c r="A620" s="19" t="s">
        <v>2117</v>
      </c>
      <c r="B620" s="19"/>
    </row>
    <row r="622" spans="1:2">
      <c r="A622" s="22" t="s">
        <v>133</v>
      </c>
    </row>
    <row r="623" spans="1:2">
      <c r="A623" s="22" t="s">
        <v>131</v>
      </c>
      <c r="B623" s="22"/>
    </row>
    <row r="624" spans="1:2">
      <c r="A624" s="22" t="s">
        <v>389</v>
      </c>
      <c r="B624" s="22"/>
    </row>
    <row r="626" spans="1:2">
      <c r="A626" s="19" t="s">
        <v>400</v>
      </c>
      <c r="B626" s="19"/>
    </row>
    <row r="628" spans="1:2">
      <c r="A628" s="19" t="s">
        <v>2110</v>
      </c>
      <c r="B628" s="19"/>
    </row>
    <row r="630" spans="1:2">
      <c r="A630" s="22" t="s">
        <v>1028</v>
      </c>
      <c r="B630" s="22"/>
    </row>
    <row r="632" spans="1:2">
      <c r="A632" s="22" t="s">
        <v>1073</v>
      </c>
      <c r="B632" s="22"/>
    </row>
    <row r="634" spans="1:2">
      <c r="A634" s="22" t="s">
        <v>665</v>
      </c>
      <c r="B634" s="22"/>
    </row>
    <row r="636" spans="1:2">
      <c r="A636" s="19" t="s">
        <v>406</v>
      </c>
    </row>
    <row r="638" spans="1:2">
      <c r="A638" s="22" t="s">
        <v>407</v>
      </c>
    </row>
    <row r="640" spans="1:2">
      <c r="A640" s="22">
        <v>2</v>
      </c>
    </row>
    <row r="642" spans="1:2">
      <c r="A642" s="22" t="s">
        <v>1074</v>
      </c>
      <c r="B642" s="22"/>
    </row>
    <row r="644" spans="1:2">
      <c r="A644" s="22" t="s">
        <v>510</v>
      </c>
      <c r="B644" s="22"/>
    </row>
    <row r="646" spans="1:2">
      <c r="A646" s="19" t="s">
        <v>423</v>
      </c>
    </row>
    <row r="648" spans="1:2">
      <c r="A648" s="19" t="s">
        <v>424</v>
      </c>
    </row>
    <row r="650" spans="1:2">
      <c r="A650" s="22" t="s">
        <v>407</v>
      </c>
    </row>
    <row r="652" spans="1:2">
      <c r="A652" s="22">
        <v>2</v>
      </c>
    </row>
    <row r="654" spans="1:2">
      <c r="A654" s="22" t="s">
        <v>1075</v>
      </c>
      <c r="B654" s="22"/>
    </row>
    <row r="656" spans="1:2">
      <c r="A656" s="22" t="s">
        <v>469</v>
      </c>
      <c r="B656" s="22"/>
    </row>
    <row r="658" spans="1:2">
      <c r="A658" s="19" t="s">
        <v>423</v>
      </c>
    </row>
    <row r="660" spans="1:2">
      <c r="A660" s="19" t="s">
        <v>424</v>
      </c>
    </row>
    <row r="662" spans="1:2">
      <c r="A662" s="22" t="s">
        <v>407</v>
      </c>
    </row>
    <row r="664" spans="1:2">
      <c r="A664" s="22">
        <v>2</v>
      </c>
    </row>
    <row r="666" spans="1:2">
      <c r="A666" s="22" t="s">
        <v>1076</v>
      </c>
      <c r="B666" s="22"/>
    </row>
    <row r="668" spans="1:2">
      <c r="A668" s="22" t="s">
        <v>489</v>
      </c>
      <c r="B668" s="22"/>
    </row>
    <row r="670" spans="1:2">
      <c r="A670" s="19" t="s">
        <v>423</v>
      </c>
    </row>
    <row r="672" spans="1:2">
      <c r="A672" s="19" t="s">
        <v>424</v>
      </c>
    </row>
    <row r="674" spans="1:2">
      <c r="A674" s="22" t="s">
        <v>407</v>
      </c>
    </row>
    <row r="676" spans="1:2">
      <c r="A676" s="22">
        <v>2</v>
      </c>
    </row>
    <row r="678" spans="1:2">
      <c r="A678" s="22" t="s">
        <v>1077</v>
      </c>
      <c r="B678" s="22"/>
    </row>
    <row r="680" spans="1:2">
      <c r="A680" s="22" t="s">
        <v>947</v>
      </c>
      <c r="B680" s="22"/>
    </row>
    <row r="682" spans="1:2">
      <c r="A682" s="19" t="s">
        <v>423</v>
      </c>
    </row>
    <row r="684" spans="1:2">
      <c r="A684" s="19" t="s">
        <v>424</v>
      </c>
    </row>
    <row r="686" spans="1:2">
      <c r="A686" s="22" t="s">
        <v>407</v>
      </c>
    </row>
    <row r="688" spans="1:2">
      <c r="A688" s="22">
        <v>2</v>
      </c>
    </row>
    <row r="690" spans="1:2">
      <c r="A690" s="22" t="s">
        <v>1078</v>
      </c>
      <c r="B690" s="22"/>
    </row>
    <row r="692" spans="1:2">
      <c r="A692" s="22" t="s">
        <v>1079</v>
      </c>
      <c r="B692" s="22"/>
    </row>
    <row r="694" spans="1:2">
      <c r="A694" s="19" t="s">
        <v>423</v>
      </c>
    </row>
    <row r="696" spans="1:2">
      <c r="A696" s="19" t="s">
        <v>424</v>
      </c>
    </row>
    <row r="698" spans="1:2">
      <c r="A698" s="22" t="s">
        <v>407</v>
      </c>
    </row>
    <row r="700" spans="1:2">
      <c r="A700" s="22">
        <v>2</v>
      </c>
    </row>
    <row r="702" spans="1:2">
      <c r="A702" s="22" t="s">
        <v>1080</v>
      </c>
      <c r="B702" s="22"/>
    </row>
    <row r="704" spans="1:2">
      <c r="A704" s="22" t="s">
        <v>1056</v>
      </c>
      <c r="B704" s="22"/>
    </row>
    <row r="706" spans="1:2">
      <c r="A706" s="19" t="s">
        <v>423</v>
      </c>
    </row>
    <row r="708" spans="1:2">
      <c r="A708" s="19" t="s">
        <v>424</v>
      </c>
    </row>
    <row r="710" spans="1:2">
      <c r="A710" s="22" t="s">
        <v>407</v>
      </c>
    </row>
    <row r="712" spans="1:2">
      <c r="A712" s="22">
        <v>3</v>
      </c>
    </row>
    <row r="714" spans="1:2">
      <c r="A714" s="22" t="s">
        <v>1081</v>
      </c>
      <c r="B714" s="22"/>
    </row>
    <row r="716" spans="1:2">
      <c r="A716" s="22" t="s">
        <v>550</v>
      </c>
      <c r="B716" s="22"/>
    </row>
    <row r="718" spans="1:2">
      <c r="A718" s="19" t="s">
        <v>423</v>
      </c>
    </row>
    <row r="720" spans="1:2">
      <c r="A720" s="19" t="s">
        <v>424</v>
      </c>
    </row>
    <row r="722" spans="1:2">
      <c r="A722" s="22" t="s">
        <v>407</v>
      </c>
    </row>
    <row r="724" spans="1:2">
      <c r="A724" s="22">
        <v>2</v>
      </c>
    </row>
    <row r="726" spans="1:2">
      <c r="A726" s="19" t="s">
        <v>2118</v>
      </c>
      <c r="B726" s="19"/>
    </row>
    <row r="728" spans="1:2">
      <c r="A728" s="22" t="s">
        <v>133</v>
      </c>
    </row>
    <row r="729" spans="1:2">
      <c r="A729" s="22" t="s">
        <v>131</v>
      </c>
      <c r="B729" s="22"/>
    </row>
    <row r="730" spans="1:2">
      <c r="A730" s="22" t="s">
        <v>389</v>
      </c>
      <c r="B730" s="22"/>
    </row>
    <row r="732" spans="1:2">
      <c r="A732" s="19" t="s">
        <v>400</v>
      </c>
      <c r="B732" s="19"/>
    </row>
    <row r="734" spans="1:2">
      <c r="A734" s="19" t="s">
        <v>2110</v>
      </c>
      <c r="B734" s="19"/>
    </row>
    <row r="736" spans="1:2">
      <c r="A736" s="22" t="s">
        <v>1028</v>
      </c>
      <c r="B736" s="22"/>
    </row>
    <row r="738" spans="1:2">
      <c r="A738" s="22" t="s">
        <v>1082</v>
      </c>
      <c r="B738" s="22"/>
    </row>
    <row r="740" spans="1:2">
      <c r="A740" s="22" t="s">
        <v>538</v>
      </c>
      <c r="B740" s="22"/>
    </row>
    <row r="742" spans="1:2">
      <c r="A742" s="19" t="s">
        <v>406</v>
      </c>
    </row>
    <row r="744" spans="1:2">
      <c r="A744" s="22" t="s">
        <v>407</v>
      </c>
    </row>
    <row r="746" spans="1:2">
      <c r="A746" s="22">
        <v>2</v>
      </c>
    </row>
    <row r="748" spans="1:2">
      <c r="A748" s="22" t="s">
        <v>1083</v>
      </c>
      <c r="B748" s="22"/>
    </row>
    <row r="750" spans="1:2">
      <c r="A750" s="22" t="s">
        <v>595</v>
      </c>
      <c r="B750" s="22"/>
    </row>
    <row r="752" spans="1:2">
      <c r="A752" s="19" t="s">
        <v>423</v>
      </c>
    </row>
    <row r="754" spans="1:2">
      <c r="A754" s="19" t="s">
        <v>424</v>
      </c>
    </row>
    <row r="756" spans="1:2">
      <c r="A756" s="22" t="s">
        <v>407</v>
      </c>
    </row>
    <row r="758" spans="1:2">
      <c r="A758" s="22">
        <v>2</v>
      </c>
    </row>
    <row r="760" spans="1:2">
      <c r="A760" s="22" t="s">
        <v>1084</v>
      </c>
      <c r="B760" s="22"/>
    </row>
    <row r="762" spans="1:2">
      <c r="A762" s="22" t="s">
        <v>548</v>
      </c>
      <c r="B762" s="22"/>
    </row>
    <row r="764" spans="1:2">
      <c r="A764" s="19" t="s">
        <v>423</v>
      </c>
    </row>
    <row r="766" spans="1:2">
      <c r="A766" s="19" t="s">
        <v>424</v>
      </c>
    </row>
    <row r="768" spans="1:2">
      <c r="A768" s="22" t="s">
        <v>407</v>
      </c>
    </row>
    <row r="770" spans="1:2">
      <c r="A770" s="22">
        <v>2</v>
      </c>
    </row>
    <row r="772" spans="1:2">
      <c r="A772" s="22" t="s">
        <v>1085</v>
      </c>
      <c r="B772" s="22"/>
    </row>
    <row r="774" spans="1:2">
      <c r="A774" s="22" t="s">
        <v>564</v>
      </c>
      <c r="B774" s="22"/>
    </row>
    <row r="776" spans="1:2">
      <c r="A776" s="19" t="s">
        <v>423</v>
      </c>
    </row>
    <row r="778" spans="1:2">
      <c r="A778" s="19" t="s">
        <v>424</v>
      </c>
    </row>
    <row r="780" spans="1:2">
      <c r="A780" s="22" t="s">
        <v>407</v>
      </c>
    </row>
    <row r="782" spans="1:2">
      <c r="A782" s="22">
        <v>6</v>
      </c>
    </row>
    <row r="784" spans="1:2">
      <c r="A784" s="22" t="s">
        <v>1086</v>
      </c>
      <c r="B784" s="22"/>
    </row>
    <row r="786" spans="1:2">
      <c r="A786" s="22" t="s">
        <v>432</v>
      </c>
      <c r="B786" s="22"/>
    </row>
    <row r="788" spans="1:2">
      <c r="A788" s="19" t="s">
        <v>423</v>
      </c>
    </row>
    <row r="790" spans="1:2">
      <c r="A790" s="19" t="s">
        <v>424</v>
      </c>
    </row>
    <row r="792" spans="1:2">
      <c r="A792" s="22" t="s">
        <v>407</v>
      </c>
    </row>
    <row r="794" spans="1:2">
      <c r="A794" s="22">
        <v>1</v>
      </c>
    </row>
    <row r="796" spans="1:2">
      <c r="A796" s="22" t="s">
        <v>1087</v>
      </c>
      <c r="B796" s="22"/>
    </row>
    <row r="798" spans="1:2">
      <c r="A798" s="22" t="s">
        <v>432</v>
      </c>
      <c r="B798" s="22"/>
    </row>
    <row r="800" spans="1:2">
      <c r="A800" s="19" t="s">
        <v>423</v>
      </c>
    </row>
    <row r="802" spans="1:2">
      <c r="A802" s="19" t="s">
        <v>424</v>
      </c>
    </row>
    <row r="804" spans="1:2">
      <c r="A804" s="22" t="s">
        <v>407</v>
      </c>
    </row>
    <row r="806" spans="1:2">
      <c r="A806" s="22">
        <v>1</v>
      </c>
    </row>
    <row r="808" spans="1:2">
      <c r="A808" s="22" t="s">
        <v>1088</v>
      </c>
      <c r="B808" s="22"/>
    </row>
    <row r="810" spans="1:2">
      <c r="A810" s="22" t="s">
        <v>430</v>
      </c>
      <c r="B810" s="22"/>
    </row>
    <row r="812" spans="1:2">
      <c r="A812" s="19" t="s">
        <v>423</v>
      </c>
    </row>
    <row r="814" spans="1:2">
      <c r="A814" s="19" t="s">
        <v>424</v>
      </c>
    </row>
    <row r="816" spans="1:2">
      <c r="A816" s="22" t="s">
        <v>407</v>
      </c>
    </row>
    <row r="818" spans="1:2">
      <c r="A818" s="22">
        <v>2</v>
      </c>
    </row>
    <row r="820" spans="1:2">
      <c r="A820" s="22" t="s">
        <v>1089</v>
      </c>
      <c r="B820" s="22"/>
    </row>
    <row r="822" spans="1:2">
      <c r="A822" s="22" t="s">
        <v>1090</v>
      </c>
      <c r="B822" s="22"/>
    </row>
    <row r="824" spans="1:2">
      <c r="A824" s="19" t="s">
        <v>423</v>
      </c>
    </row>
    <row r="826" spans="1:2">
      <c r="A826" s="19" t="s">
        <v>424</v>
      </c>
    </row>
    <row r="828" spans="1:2">
      <c r="A828" s="22" t="s">
        <v>407</v>
      </c>
    </row>
    <row r="830" spans="1:2">
      <c r="A830" s="22">
        <v>3</v>
      </c>
    </row>
    <row r="832" spans="1:2">
      <c r="A832" s="19" t="s">
        <v>2119</v>
      </c>
      <c r="B832" s="19"/>
    </row>
    <row r="834" spans="1:2">
      <c r="A834" s="22" t="s">
        <v>133</v>
      </c>
    </row>
    <row r="835" spans="1:2">
      <c r="A835" s="22" t="s">
        <v>131</v>
      </c>
      <c r="B835" s="22"/>
    </row>
    <row r="836" spans="1:2">
      <c r="A836" s="22" t="s">
        <v>389</v>
      </c>
      <c r="B836" s="22"/>
    </row>
    <row r="838" spans="1:2">
      <c r="A838" s="19" t="s">
        <v>400</v>
      </c>
      <c r="B838" s="19"/>
    </row>
    <row r="840" spans="1:2">
      <c r="A840" s="19" t="s">
        <v>2110</v>
      </c>
      <c r="B840" s="19"/>
    </row>
    <row r="842" spans="1:2">
      <c r="A842" s="22" t="s">
        <v>1028</v>
      </c>
      <c r="B842" s="22"/>
    </row>
    <row r="844" spans="1:2">
      <c r="A844" s="22" t="s">
        <v>1091</v>
      </c>
      <c r="B844" s="22"/>
    </row>
    <row r="846" spans="1:2">
      <c r="A846" s="22" t="s">
        <v>1092</v>
      </c>
      <c r="B846" s="22"/>
    </row>
    <row r="848" spans="1:2">
      <c r="A848" s="19" t="s">
        <v>406</v>
      </c>
    </row>
    <row r="850" spans="1:2">
      <c r="A850" s="22" t="s">
        <v>407</v>
      </c>
    </row>
    <row r="852" spans="1:2">
      <c r="A852" s="22">
        <v>2</v>
      </c>
    </row>
    <row r="854" spans="1:2">
      <c r="A854" s="22" t="s">
        <v>1093</v>
      </c>
      <c r="B854" s="22"/>
    </row>
    <row r="856" spans="1:2">
      <c r="A856" s="22" t="s">
        <v>441</v>
      </c>
      <c r="B856" s="22"/>
    </row>
    <row r="858" spans="1:2">
      <c r="A858" s="19" t="s">
        <v>423</v>
      </c>
    </row>
    <row r="860" spans="1:2">
      <c r="A860" s="19" t="s">
        <v>424</v>
      </c>
    </row>
    <row r="862" spans="1:2">
      <c r="A862" s="22" t="s">
        <v>407</v>
      </c>
    </row>
    <row r="864" spans="1:2">
      <c r="A864" s="22">
        <v>2</v>
      </c>
    </row>
    <row r="866" spans="1:2">
      <c r="A866" s="22" t="s">
        <v>1094</v>
      </c>
      <c r="B866" s="22"/>
    </row>
    <row r="868" spans="1:2">
      <c r="A868" s="22" t="s">
        <v>1056</v>
      </c>
      <c r="B868" s="22"/>
    </row>
    <row r="870" spans="1:2">
      <c r="A870" s="19" t="s">
        <v>423</v>
      </c>
    </row>
    <row r="872" spans="1:2">
      <c r="A872" s="19" t="s">
        <v>424</v>
      </c>
    </row>
    <row r="874" spans="1:2">
      <c r="A874" s="22" t="s">
        <v>407</v>
      </c>
    </row>
    <row r="876" spans="1:2">
      <c r="A876" s="22">
        <v>2</v>
      </c>
    </row>
    <row r="878" spans="1:2">
      <c r="A878" s="22" t="s">
        <v>1095</v>
      </c>
      <c r="B878" s="22"/>
    </row>
    <row r="880" spans="1:2">
      <c r="A880" s="22" t="s">
        <v>1096</v>
      </c>
      <c r="B880" s="22"/>
    </row>
    <row r="882" spans="1:2">
      <c r="A882" s="19" t="s">
        <v>423</v>
      </c>
    </row>
    <row r="884" spans="1:2">
      <c r="A884" s="19" t="s">
        <v>424</v>
      </c>
    </row>
    <row r="886" spans="1:2">
      <c r="A886" s="22" t="s">
        <v>407</v>
      </c>
    </row>
    <row r="888" spans="1:2">
      <c r="A888" s="22">
        <v>3</v>
      </c>
    </row>
    <row r="890" spans="1:2">
      <c r="A890" s="22" t="s">
        <v>1097</v>
      </c>
      <c r="B890" s="22"/>
    </row>
    <row r="892" spans="1:2">
      <c r="A892" s="22" t="s">
        <v>1096</v>
      </c>
      <c r="B892" s="22"/>
    </row>
    <row r="894" spans="1:2">
      <c r="A894" s="19" t="s">
        <v>423</v>
      </c>
    </row>
    <row r="896" spans="1:2">
      <c r="A896" s="19" t="s">
        <v>424</v>
      </c>
    </row>
    <row r="898" spans="1:2">
      <c r="A898" s="22" t="s">
        <v>407</v>
      </c>
    </row>
    <row r="900" spans="1:2">
      <c r="A900" s="22">
        <v>2</v>
      </c>
    </row>
    <row r="902" spans="1:2">
      <c r="A902" s="22" t="s">
        <v>1098</v>
      </c>
      <c r="B902" s="22"/>
    </row>
    <row r="904" spans="1:2">
      <c r="A904" s="22" t="s">
        <v>422</v>
      </c>
      <c r="B904" s="22"/>
    </row>
    <row r="906" spans="1:2">
      <c r="A906" s="19" t="s">
        <v>423</v>
      </c>
    </row>
    <row r="908" spans="1:2">
      <c r="A908" s="19" t="s">
        <v>424</v>
      </c>
    </row>
    <row r="910" spans="1:2">
      <c r="A910" s="22" t="s">
        <v>407</v>
      </c>
    </row>
    <row r="912" spans="1:2">
      <c r="A912" s="22">
        <v>2</v>
      </c>
    </row>
    <row r="914" spans="1:2">
      <c r="A914" s="22" t="s">
        <v>1099</v>
      </c>
      <c r="B914" s="22"/>
    </row>
    <row r="916" spans="1:2">
      <c r="A916" s="22" t="s">
        <v>441</v>
      </c>
      <c r="B916" s="22"/>
    </row>
    <row r="918" spans="1:2">
      <c r="A918" s="19" t="s">
        <v>423</v>
      </c>
    </row>
    <row r="920" spans="1:2">
      <c r="A920" s="19" t="s">
        <v>424</v>
      </c>
    </row>
    <row r="922" spans="1:2">
      <c r="A922" s="22" t="s">
        <v>407</v>
      </c>
    </row>
    <row r="924" spans="1:2">
      <c r="A924" s="22">
        <v>2</v>
      </c>
    </row>
    <row r="926" spans="1:2">
      <c r="A926" s="22" t="s">
        <v>1100</v>
      </c>
      <c r="B926" s="22"/>
    </row>
    <row r="928" spans="1:2">
      <c r="A928" s="22" t="s">
        <v>1092</v>
      </c>
      <c r="B928" s="22"/>
    </row>
    <row r="930" spans="1:2">
      <c r="A930" s="19" t="s">
        <v>423</v>
      </c>
    </row>
    <row r="932" spans="1:2">
      <c r="A932" s="19" t="s">
        <v>424</v>
      </c>
    </row>
    <row r="934" spans="1:2">
      <c r="A934" s="22" t="s">
        <v>407</v>
      </c>
    </row>
    <row r="936" spans="1:2">
      <c r="A936" s="22">
        <v>2</v>
      </c>
    </row>
    <row r="938" spans="1:2">
      <c r="A938" s="19" t="s">
        <v>2120</v>
      </c>
      <c r="B938" s="19"/>
    </row>
    <row r="940" spans="1:2">
      <c r="A940" s="22" t="s">
        <v>133</v>
      </c>
    </row>
    <row r="941" spans="1:2">
      <c r="A941" s="22" t="s">
        <v>131</v>
      </c>
      <c r="B941" s="22"/>
    </row>
    <row r="942" spans="1:2">
      <c r="A942" s="22" t="s">
        <v>389</v>
      </c>
      <c r="B942" s="22"/>
    </row>
    <row r="944" spans="1:2">
      <c r="A944" s="19" t="s">
        <v>400</v>
      </c>
      <c r="B944" s="19"/>
    </row>
    <row r="946" spans="1:2">
      <c r="A946" s="19" t="s">
        <v>2110</v>
      </c>
      <c r="B946" s="19"/>
    </row>
    <row r="948" spans="1:2">
      <c r="A948" s="22" t="s">
        <v>1028</v>
      </c>
      <c r="B948" s="22"/>
    </row>
    <row r="950" spans="1:2">
      <c r="A950" s="22" t="s">
        <v>1101</v>
      </c>
      <c r="B950" s="22"/>
    </row>
    <row r="952" spans="1:2">
      <c r="A952" s="22" t="s">
        <v>495</v>
      </c>
      <c r="B952" s="22"/>
    </row>
    <row r="954" spans="1:2">
      <c r="A954" s="19" t="s">
        <v>406</v>
      </c>
    </row>
    <row r="956" spans="1:2">
      <c r="A956" s="22" t="s">
        <v>407</v>
      </c>
    </row>
    <row r="958" spans="1:2">
      <c r="A958" s="22">
        <v>6</v>
      </c>
    </row>
    <row r="960" spans="1:2">
      <c r="A960" s="22" t="s">
        <v>1102</v>
      </c>
      <c r="B960" s="22"/>
    </row>
    <row r="962" spans="1:2">
      <c r="A962" s="22" t="s">
        <v>444</v>
      </c>
      <c r="B962" s="22"/>
    </row>
    <row r="964" spans="1:2">
      <c r="A964" s="19" t="s">
        <v>423</v>
      </c>
    </row>
    <row r="966" spans="1:2">
      <c r="A966" s="19" t="s">
        <v>424</v>
      </c>
    </row>
    <row r="968" spans="1:2">
      <c r="A968" s="22" t="s">
        <v>407</v>
      </c>
    </row>
    <row r="970" spans="1:2">
      <c r="A970" s="22">
        <v>6</v>
      </c>
    </row>
    <row r="972" spans="1:2">
      <c r="A972" s="22" t="s">
        <v>1103</v>
      </c>
      <c r="B972" s="22"/>
    </row>
    <row r="974" spans="1:2">
      <c r="A974" s="22" t="s">
        <v>448</v>
      </c>
      <c r="B974" s="22"/>
    </row>
    <row r="976" spans="1:2">
      <c r="A976" s="19" t="s">
        <v>423</v>
      </c>
    </row>
    <row r="978" spans="1:2">
      <c r="A978" s="19" t="s">
        <v>424</v>
      </c>
    </row>
    <row r="980" spans="1:2">
      <c r="A980" s="22" t="s">
        <v>407</v>
      </c>
    </row>
    <row r="982" spans="1:2">
      <c r="A982" s="22">
        <v>4</v>
      </c>
    </row>
    <row r="984" spans="1:2">
      <c r="A984" s="22" t="s">
        <v>1104</v>
      </c>
      <c r="B984" s="22"/>
    </row>
    <row r="986" spans="1:2">
      <c r="A986" s="22" t="s">
        <v>926</v>
      </c>
      <c r="B986" s="22"/>
    </row>
    <row r="988" spans="1:2">
      <c r="A988" s="19" t="s">
        <v>423</v>
      </c>
    </row>
    <row r="990" spans="1:2">
      <c r="A990" s="19" t="s">
        <v>424</v>
      </c>
    </row>
    <row r="992" spans="1:2">
      <c r="A992" s="22" t="s">
        <v>407</v>
      </c>
    </row>
    <row r="994" spans="1:2">
      <c r="A994" s="22">
        <v>2</v>
      </c>
    </row>
    <row r="996" spans="1:2">
      <c r="A996" s="22" t="s">
        <v>1105</v>
      </c>
      <c r="B996" s="22"/>
    </row>
    <row r="998" spans="1:2">
      <c r="A998" s="22" t="s">
        <v>453</v>
      </c>
      <c r="B998" s="22"/>
    </row>
    <row r="1000" spans="1:2">
      <c r="A1000" s="19" t="s">
        <v>423</v>
      </c>
    </row>
    <row r="1002" spans="1:2">
      <c r="A1002" s="19" t="s">
        <v>424</v>
      </c>
    </row>
    <row r="1004" spans="1:2">
      <c r="A1004" s="22" t="s">
        <v>407</v>
      </c>
    </row>
    <row r="1006" spans="1:2">
      <c r="A1006" s="22">
        <v>2</v>
      </c>
    </row>
    <row r="1008" spans="1:2">
      <c r="A1008" s="22" t="s">
        <v>1106</v>
      </c>
      <c r="B1008" s="22"/>
    </row>
    <row r="1010" spans="1:2">
      <c r="A1010" s="22" t="s">
        <v>456</v>
      </c>
      <c r="B1010" s="22"/>
    </row>
    <row r="1012" spans="1:2">
      <c r="A1012" s="19" t="s">
        <v>423</v>
      </c>
    </row>
    <row r="1014" spans="1:2">
      <c r="A1014" s="19" t="s">
        <v>424</v>
      </c>
    </row>
    <row r="1016" spans="1:2">
      <c r="A1016" s="22" t="s">
        <v>407</v>
      </c>
    </row>
    <row r="1018" spans="1:2">
      <c r="A1018" s="22">
        <v>4</v>
      </c>
    </row>
    <row r="1020" spans="1:2">
      <c r="A1020" s="22" t="s">
        <v>1107</v>
      </c>
      <c r="B1020" s="22"/>
    </row>
    <row r="1022" spans="1:2">
      <c r="A1022" s="22" t="s">
        <v>1108</v>
      </c>
      <c r="B1022" s="22"/>
    </row>
    <row r="1024" spans="1:2">
      <c r="A1024" s="19" t="s">
        <v>423</v>
      </c>
    </row>
    <row r="1026" spans="1:2">
      <c r="A1026" s="19" t="s">
        <v>424</v>
      </c>
    </row>
    <row r="1028" spans="1:2">
      <c r="A1028" s="22" t="s">
        <v>407</v>
      </c>
    </row>
    <row r="1030" spans="1:2">
      <c r="A1030" s="22">
        <v>2</v>
      </c>
    </row>
    <row r="1032" spans="1:2">
      <c r="A1032" s="22" t="s">
        <v>1109</v>
      </c>
      <c r="B1032" s="22"/>
    </row>
    <row r="1034" spans="1:2">
      <c r="A1034" s="22" t="s">
        <v>764</v>
      </c>
      <c r="B1034" s="22"/>
    </row>
    <row r="1036" spans="1:2">
      <c r="A1036" s="19" t="s">
        <v>423</v>
      </c>
    </row>
    <row r="1038" spans="1:2">
      <c r="A1038" s="19" t="s">
        <v>424</v>
      </c>
    </row>
    <row r="1040" spans="1:2">
      <c r="A1040" s="22" t="s">
        <v>407</v>
      </c>
    </row>
    <row r="1042" spans="1:2">
      <c r="A1042" s="22">
        <v>2</v>
      </c>
    </row>
    <row r="1044" spans="1:2">
      <c r="A1044" s="19" t="s">
        <v>2121</v>
      </c>
      <c r="B1044" s="19"/>
    </row>
    <row r="1046" spans="1:2">
      <c r="A1046" s="22" t="s">
        <v>133</v>
      </c>
    </row>
    <row r="1047" spans="1:2">
      <c r="A1047" s="22" t="s">
        <v>131</v>
      </c>
      <c r="B1047" s="22"/>
    </row>
    <row r="1048" spans="1:2">
      <c r="A1048" s="22" t="s">
        <v>389</v>
      </c>
      <c r="B1048" s="22"/>
    </row>
    <row r="1050" spans="1:2">
      <c r="A1050" s="19" t="s">
        <v>400</v>
      </c>
      <c r="B1050" s="19"/>
    </row>
    <row r="1052" spans="1:2">
      <c r="A1052" s="19" t="s">
        <v>2110</v>
      </c>
      <c r="B1052" s="19"/>
    </row>
    <row r="1054" spans="1:2">
      <c r="A1054" s="22" t="s">
        <v>1028</v>
      </c>
      <c r="B1054" s="22"/>
    </row>
    <row r="1056" spans="1:2">
      <c r="A1056" s="22" t="s">
        <v>1110</v>
      </c>
      <c r="B1056" s="22"/>
    </row>
    <row r="1058" spans="1:2">
      <c r="A1058" s="22" t="s">
        <v>1111</v>
      </c>
      <c r="B1058" s="22"/>
    </row>
    <row r="1060" spans="1:2">
      <c r="A1060" s="19" t="s">
        <v>406</v>
      </c>
    </row>
    <row r="1062" spans="1:2">
      <c r="A1062" s="22" t="s">
        <v>407</v>
      </c>
    </row>
    <row r="1064" spans="1:2">
      <c r="A1064" s="22">
        <v>2</v>
      </c>
    </row>
    <row r="1066" spans="1:2">
      <c r="A1066" s="22" t="s">
        <v>1112</v>
      </c>
      <c r="B1066" s="22"/>
    </row>
    <row r="1068" spans="1:2">
      <c r="A1068" s="22" t="s">
        <v>871</v>
      </c>
      <c r="B1068" s="22"/>
    </row>
    <row r="1070" spans="1:2">
      <c r="A1070" s="19" t="s">
        <v>423</v>
      </c>
    </row>
    <row r="1072" spans="1:2">
      <c r="A1072" s="19" t="s">
        <v>424</v>
      </c>
    </row>
    <row r="1074" spans="1:2">
      <c r="A1074" s="22" t="s">
        <v>407</v>
      </c>
    </row>
    <row r="1076" spans="1:2">
      <c r="A1076" s="22">
        <v>2</v>
      </c>
    </row>
    <row r="1078" spans="1:2">
      <c r="A1078" s="22" t="s">
        <v>1113</v>
      </c>
      <c r="B1078" s="22"/>
    </row>
    <row r="1080" spans="1:2">
      <c r="A1080" s="22" t="s">
        <v>930</v>
      </c>
      <c r="B1080" s="22"/>
    </row>
    <row r="1082" spans="1:2">
      <c r="A1082" s="19" t="s">
        <v>423</v>
      </c>
    </row>
    <row r="1084" spans="1:2">
      <c r="A1084" s="19" t="s">
        <v>424</v>
      </c>
    </row>
    <row r="1086" spans="1:2">
      <c r="A1086" s="22" t="s">
        <v>407</v>
      </c>
    </row>
    <row r="1088" spans="1:2">
      <c r="A1088" s="22">
        <v>2</v>
      </c>
    </row>
    <row r="1090" spans="1:2">
      <c r="A1090" s="22" t="s">
        <v>1114</v>
      </c>
      <c r="B1090" s="22"/>
    </row>
    <row r="1092" spans="1:2">
      <c r="A1092" s="22" t="s">
        <v>462</v>
      </c>
      <c r="B1092" s="22"/>
    </row>
    <row r="1094" spans="1:2">
      <c r="A1094" s="19" t="s">
        <v>423</v>
      </c>
    </row>
    <row r="1096" spans="1:2">
      <c r="A1096" s="19" t="s">
        <v>424</v>
      </c>
    </row>
    <row r="1098" spans="1:2">
      <c r="A1098" s="22" t="s">
        <v>407</v>
      </c>
    </row>
    <row r="1100" spans="1:2">
      <c r="A1100" s="22">
        <v>2</v>
      </c>
    </row>
    <row r="1102" spans="1:2">
      <c r="A1102" s="22" t="s">
        <v>1115</v>
      </c>
      <c r="B1102" s="22"/>
    </row>
    <row r="1104" spans="1:2">
      <c r="A1104" s="22" t="s">
        <v>467</v>
      </c>
      <c r="B1104" s="22"/>
    </row>
    <row r="1106" spans="1:2">
      <c r="A1106" s="19" t="s">
        <v>423</v>
      </c>
    </row>
    <row r="1108" spans="1:2">
      <c r="A1108" s="19" t="s">
        <v>424</v>
      </c>
    </row>
    <row r="1110" spans="1:2">
      <c r="A1110" s="22" t="s">
        <v>407</v>
      </c>
    </row>
    <row r="1112" spans="1:2">
      <c r="A1112" s="22">
        <v>2</v>
      </c>
    </row>
    <row r="1114" spans="1:2">
      <c r="A1114" s="22" t="s">
        <v>1116</v>
      </c>
      <c r="B1114" s="22"/>
    </row>
    <row r="1116" spans="1:2">
      <c r="A1116" s="22" t="s">
        <v>837</v>
      </c>
      <c r="B1116" s="22"/>
    </row>
    <row r="1118" spans="1:2">
      <c r="A1118" s="19" t="s">
        <v>423</v>
      </c>
    </row>
    <row r="1120" spans="1:2">
      <c r="A1120" s="19" t="s">
        <v>424</v>
      </c>
    </row>
    <row r="1122" spans="1:2">
      <c r="A1122" s="22" t="s">
        <v>407</v>
      </c>
    </row>
    <row r="1124" spans="1:2">
      <c r="A1124" s="22">
        <v>2</v>
      </c>
    </row>
    <row r="1126" spans="1:2">
      <c r="A1126" s="22" t="s">
        <v>1117</v>
      </c>
      <c r="B1126" s="22"/>
    </row>
    <row r="1128" spans="1:2">
      <c r="A1128" s="22" t="s">
        <v>1118</v>
      </c>
      <c r="B1128" s="22"/>
    </row>
    <row r="1130" spans="1:2">
      <c r="A1130" s="19" t="s">
        <v>423</v>
      </c>
    </row>
    <row r="1132" spans="1:2">
      <c r="A1132" s="19" t="s">
        <v>424</v>
      </c>
    </row>
    <row r="1134" spans="1:2">
      <c r="A1134" s="22" t="s">
        <v>407</v>
      </c>
    </row>
    <row r="1136" spans="1:2">
      <c r="A1136" s="22">
        <v>2</v>
      </c>
    </row>
    <row r="1138" spans="1:2">
      <c r="A1138" s="22" t="s">
        <v>1119</v>
      </c>
      <c r="B1138" s="22"/>
    </row>
    <row r="1140" spans="1:2">
      <c r="A1140" s="22" t="s">
        <v>1120</v>
      </c>
      <c r="B1140" s="22"/>
    </row>
    <row r="1142" spans="1:2">
      <c r="A1142" s="19" t="s">
        <v>423</v>
      </c>
    </row>
    <row r="1144" spans="1:2">
      <c r="A1144" s="19" t="s">
        <v>424</v>
      </c>
    </row>
    <row r="1146" spans="1:2">
      <c r="A1146" s="22" t="s">
        <v>407</v>
      </c>
    </row>
    <row r="1148" spans="1:2">
      <c r="A1148" s="22">
        <v>4</v>
      </c>
    </row>
    <row r="1150" spans="1:2">
      <c r="A1150" s="19" t="s">
        <v>2122</v>
      </c>
      <c r="B1150" s="19"/>
    </row>
    <row r="1152" spans="1:2">
      <c r="A1152" s="22" t="s">
        <v>133</v>
      </c>
    </row>
    <row r="1153" spans="1:2">
      <c r="A1153" s="22" t="s">
        <v>131</v>
      </c>
      <c r="B1153" s="22"/>
    </row>
    <row r="1154" spans="1:2">
      <c r="A1154" s="22" t="s">
        <v>389</v>
      </c>
      <c r="B1154" s="22"/>
    </row>
    <row r="1156" spans="1:2">
      <c r="A1156" s="19" t="s">
        <v>400</v>
      </c>
      <c r="B1156" s="19"/>
    </row>
    <row r="1158" spans="1:2">
      <c r="A1158" s="19" t="s">
        <v>2110</v>
      </c>
      <c r="B1158" s="19"/>
    </row>
    <row r="1160" spans="1:2">
      <c r="A1160" s="22" t="s">
        <v>1028</v>
      </c>
      <c r="B1160" s="22"/>
    </row>
    <row r="1162" spans="1:2">
      <c r="A1162" s="22" t="s">
        <v>1121</v>
      </c>
      <c r="B1162" s="22"/>
    </row>
    <row r="1164" spans="1:2">
      <c r="A1164" s="22" t="s">
        <v>548</v>
      </c>
      <c r="B1164" s="22"/>
    </row>
    <row r="1166" spans="1:2">
      <c r="A1166" s="19" t="s">
        <v>406</v>
      </c>
    </row>
    <row r="1168" spans="1:2">
      <c r="A1168" s="22" t="s">
        <v>407</v>
      </c>
    </row>
    <row r="1170" spans="1:2">
      <c r="A1170" s="22">
        <v>2</v>
      </c>
    </row>
    <row r="1172" spans="1:2">
      <c r="A1172" s="22" t="s">
        <v>1122</v>
      </c>
      <c r="B1172" s="22"/>
    </row>
    <row r="1174" spans="1:2">
      <c r="A1174" s="22" t="s">
        <v>617</v>
      </c>
      <c r="B1174" s="22"/>
    </row>
    <row r="1176" spans="1:2">
      <c r="A1176" s="19" t="s">
        <v>423</v>
      </c>
    </row>
    <row r="1178" spans="1:2">
      <c r="A1178" s="19" t="s">
        <v>424</v>
      </c>
    </row>
    <row r="1180" spans="1:2">
      <c r="A1180" s="22" t="s">
        <v>407</v>
      </c>
    </row>
    <row r="1182" spans="1:2">
      <c r="A1182" s="22">
        <v>2</v>
      </c>
    </row>
    <row r="1184" spans="1:2">
      <c r="A1184" s="22" t="s">
        <v>1123</v>
      </c>
      <c r="B1184" s="22"/>
    </row>
    <row r="1186" spans="1:2">
      <c r="A1186" s="22" t="s">
        <v>1124</v>
      </c>
      <c r="B1186" s="22"/>
    </row>
    <row r="1188" spans="1:2">
      <c r="A1188" s="19" t="s">
        <v>423</v>
      </c>
    </row>
    <row r="1190" spans="1:2">
      <c r="A1190" s="19" t="s">
        <v>424</v>
      </c>
    </row>
    <row r="1192" spans="1:2">
      <c r="A1192" s="22" t="s">
        <v>407</v>
      </c>
    </row>
    <row r="1194" spans="1:2">
      <c r="A1194" s="22">
        <v>2</v>
      </c>
    </row>
    <row r="1196" spans="1:2">
      <c r="A1196" s="22" t="s">
        <v>1125</v>
      </c>
      <c r="B1196" s="22"/>
    </row>
    <row r="1198" spans="1:2">
      <c r="A1198" s="22" t="s">
        <v>514</v>
      </c>
      <c r="B1198" s="22"/>
    </row>
    <row r="1200" spans="1:2">
      <c r="A1200" s="19" t="s">
        <v>423</v>
      </c>
    </row>
    <row r="1202" spans="1:2">
      <c r="A1202" s="19" t="s">
        <v>424</v>
      </c>
    </row>
    <row r="1204" spans="1:2">
      <c r="A1204" s="22" t="s">
        <v>407</v>
      </c>
    </row>
    <row r="1206" spans="1:2">
      <c r="A1206" s="22">
        <v>2</v>
      </c>
    </row>
    <row r="1208" spans="1:2">
      <c r="A1208" s="22" t="s">
        <v>1126</v>
      </c>
      <c r="B1208" s="22"/>
    </row>
    <row r="1210" spans="1:2">
      <c r="A1210" s="22" t="s">
        <v>552</v>
      </c>
      <c r="B1210" s="22"/>
    </row>
    <row r="1212" spans="1:2">
      <c r="A1212" s="19" t="s">
        <v>423</v>
      </c>
    </row>
    <row r="1214" spans="1:2">
      <c r="A1214" s="19" t="s">
        <v>424</v>
      </c>
    </row>
    <row r="1216" spans="1:2">
      <c r="A1216" s="22" t="s">
        <v>407</v>
      </c>
    </row>
    <row r="1218" spans="1:2">
      <c r="A1218" s="22">
        <v>3</v>
      </c>
    </row>
    <row r="1220" spans="1:2">
      <c r="A1220" s="22" t="s">
        <v>1127</v>
      </c>
      <c r="B1220" s="22"/>
    </row>
    <row r="1222" spans="1:2">
      <c r="A1222" s="22" t="s">
        <v>630</v>
      </c>
      <c r="B1222" s="22"/>
    </row>
    <row r="1224" spans="1:2">
      <c r="A1224" s="19" t="s">
        <v>423</v>
      </c>
    </row>
    <row r="1226" spans="1:2">
      <c r="A1226" s="19" t="s">
        <v>424</v>
      </c>
    </row>
    <row r="1228" spans="1:2">
      <c r="A1228" s="22" t="s">
        <v>407</v>
      </c>
    </row>
    <row r="1230" spans="1:2">
      <c r="A1230" s="22">
        <v>3</v>
      </c>
    </row>
    <row r="1232" spans="1:2">
      <c r="A1232" s="22" t="s">
        <v>1128</v>
      </c>
      <c r="B1232" s="22"/>
    </row>
    <row r="1234" spans="1:2">
      <c r="A1234" s="22" t="s">
        <v>538</v>
      </c>
      <c r="B1234" s="22"/>
    </row>
    <row r="1236" spans="1:2">
      <c r="A1236" s="19" t="s">
        <v>423</v>
      </c>
    </row>
    <row r="1238" spans="1:2">
      <c r="A1238" s="19" t="s">
        <v>424</v>
      </c>
    </row>
    <row r="1240" spans="1:2">
      <c r="A1240" s="22" t="s">
        <v>407</v>
      </c>
    </row>
    <row r="1242" spans="1:2">
      <c r="A1242" s="22">
        <v>2</v>
      </c>
    </row>
    <row r="1244" spans="1:2">
      <c r="A1244" s="22" t="s">
        <v>1129</v>
      </c>
      <c r="B1244" s="22"/>
    </row>
    <row r="1246" spans="1:2">
      <c r="A1246" s="22" t="s">
        <v>622</v>
      </c>
      <c r="B1246" s="22"/>
    </row>
    <row r="1248" spans="1:2">
      <c r="A1248" s="19" t="s">
        <v>423</v>
      </c>
    </row>
    <row r="1250" spans="1:2">
      <c r="A1250" s="19" t="s">
        <v>424</v>
      </c>
    </row>
    <row r="1252" spans="1:2">
      <c r="A1252" s="22" t="s">
        <v>407</v>
      </c>
    </row>
    <row r="1254" spans="1:2">
      <c r="A1254" s="22">
        <v>4</v>
      </c>
    </row>
    <row r="1256" spans="1:2">
      <c r="A1256" s="19" t="s">
        <v>2123</v>
      </c>
      <c r="B1256" s="19"/>
    </row>
    <row r="1258" spans="1:2">
      <c r="A1258" s="22" t="s">
        <v>133</v>
      </c>
    </row>
    <row r="1259" spans="1:2">
      <c r="A1259" s="22" t="s">
        <v>131</v>
      </c>
      <c r="B1259" s="22"/>
    </row>
    <row r="1260" spans="1:2">
      <c r="A1260" s="22" t="s">
        <v>389</v>
      </c>
      <c r="B1260" s="22"/>
    </row>
    <row r="1262" spans="1:2">
      <c r="A1262" s="19" t="s">
        <v>400</v>
      </c>
      <c r="B1262" s="19"/>
    </row>
    <row r="1264" spans="1:2">
      <c r="A1264" s="19" t="s">
        <v>2110</v>
      </c>
      <c r="B1264" s="19"/>
    </row>
    <row r="1266" spans="1:2">
      <c r="A1266" s="22" t="s">
        <v>1028</v>
      </c>
      <c r="B1266" s="22"/>
    </row>
    <row r="1268" spans="1:2">
      <c r="A1268" s="22" t="s">
        <v>1130</v>
      </c>
      <c r="B1268" s="22"/>
    </row>
    <row r="1270" spans="1:2">
      <c r="A1270" s="22" t="s">
        <v>777</v>
      </c>
      <c r="B1270" s="22"/>
    </row>
    <row r="1272" spans="1:2">
      <c r="A1272" s="19" t="s">
        <v>406</v>
      </c>
    </row>
    <row r="1274" spans="1:2">
      <c r="A1274" s="22" t="s">
        <v>407</v>
      </c>
    </row>
    <row r="1276" spans="1:2">
      <c r="A1276" s="22">
        <v>3</v>
      </c>
    </row>
    <row r="1278" spans="1:2">
      <c r="A1278" s="22" t="s">
        <v>1131</v>
      </c>
      <c r="B1278" s="22"/>
    </row>
    <row r="1280" spans="1:2">
      <c r="A1280" s="22" t="s">
        <v>1132</v>
      </c>
      <c r="B1280" s="22"/>
    </row>
    <row r="1282" spans="1:2">
      <c r="A1282" s="19" t="s">
        <v>423</v>
      </c>
    </row>
    <row r="1284" spans="1:2">
      <c r="A1284" s="19" t="s">
        <v>424</v>
      </c>
    </row>
    <row r="1286" spans="1:2">
      <c r="A1286" s="22" t="s">
        <v>407</v>
      </c>
    </row>
    <row r="1288" spans="1:2">
      <c r="A1288" s="22">
        <v>2</v>
      </c>
    </row>
    <row r="1290" spans="1:2">
      <c r="A1290" s="22" t="s">
        <v>1133</v>
      </c>
      <c r="B1290" s="22"/>
    </row>
    <row r="1292" spans="1:2">
      <c r="A1292" s="22" t="s">
        <v>428</v>
      </c>
      <c r="B1292" s="22"/>
    </row>
    <row r="1294" spans="1:2">
      <c r="A1294" s="19" t="s">
        <v>423</v>
      </c>
    </row>
    <row r="1296" spans="1:2">
      <c r="A1296" s="19" t="s">
        <v>424</v>
      </c>
    </row>
    <row r="1298" spans="1:2">
      <c r="A1298" s="22" t="s">
        <v>407</v>
      </c>
    </row>
    <row r="1300" spans="1:2">
      <c r="A1300" s="22">
        <v>3</v>
      </c>
    </row>
    <row r="1302" spans="1:2">
      <c r="A1302" s="22" t="s">
        <v>1134</v>
      </c>
      <c r="B1302" s="22"/>
    </row>
    <row r="1304" spans="1:2">
      <c r="A1304" s="22" t="s">
        <v>453</v>
      </c>
      <c r="B1304" s="22"/>
    </row>
    <row r="1306" spans="1:2">
      <c r="A1306" s="19" t="s">
        <v>423</v>
      </c>
    </row>
    <row r="1308" spans="1:2">
      <c r="A1308" s="19" t="s">
        <v>424</v>
      </c>
    </row>
    <row r="1310" spans="1:2">
      <c r="A1310" s="22" t="s">
        <v>407</v>
      </c>
    </row>
    <row r="1312" spans="1:2">
      <c r="A1312" s="22">
        <v>2</v>
      </c>
    </row>
    <row r="1314" spans="1:2">
      <c r="A1314" s="22" t="s">
        <v>1135</v>
      </c>
      <c r="B1314" s="22"/>
    </row>
    <row r="1316" spans="1:2">
      <c r="A1316" s="22" t="s">
        <v>464</v>
      </c>
      <c r="B1316" s="22"/>
    </row>
    <row r="1318" spans="1:2">
      <c r="A1318" s="19" t="s">
        <v>423</v>
      </c>
    </row>
    <row r="1320" spans="1:2">
      <c r="A1320" s="19" t="s">
        <v>424</v>
      </c>
    </row>
    <row r="1322" spans="1:2">
      <c r="A1322" s="22" t="s">
        <v>407</v>
      </c>
    </row>
    <row r="1324" spans="1:2">
      <c r="A1324" s="22">
        <v>2</v>
      </c>
    </row>
    <row r="1326" spans="1:2">
      <c r="A1326" s="22" t="s">
        <v>1136</v>
      </c>
      <c r="B1326" s="22"/>
    </row>
    <row r="1328" spans="1:2">
      <c r="A1328" s="22" t="s">
        <v>436</v>
      </c>
      <c r="B1328" s="22"/>
    </row>
    <row r="1330" spans="1:2">
      <c r="A1330" s="19" t="s">
        <v>423</v>
      </c>
    </row>
    <row r="1332" spans="1:2">
      <c r="A1332" s="19" t="s">
        <v>424</v>
      </c>
    </row>
    <row r="1334" spans="1:2">
      <c r="A1334" s="22" t="s">
        <v>407</v>
      </c>
    </row>
    <row r="1336" spans="1:2">
      <c r="A1336" s="22">
        <v>3</v>
      </c>
    </row>
    <row r="1338" spans="1:2">
      <c r="A1338" s="22" t="s">
        <v>1137</v>
      </c>
      <c r="B1338" s="22"/>
    </row>
    <row r="1340" spans="1:2">
      <c r="A1340" s="22" t="s">
        <v>1138</v>
      </c>
      <c r="B1340" s="22"/>
    </row>
    <row r="1342" spans="1:2">
      <c r="A1342" s="19" t="s">
        <v>423</v>
      </c>
    </row>
    <row r="1344" spans="1:2">
      <c r="A1344" s="19" t="s">
        <v>424</v>
      </c>
    </row>
    <row r="1346" spans="1:2">
      <c r="A1346" s="22" t="s">
        <v>407</v>
      </c>
    </row>
    <row r="1348" spans="1:2">
      <c r="A1348" s="22">
        <v>2</v>
      </c>
    </row>
    <row r="1350" spans="1:2">
      <c r="A1350" s="22" t="s">
        <v>1139</v>
      </c>
      <c r="B1350" s="22"/>
    </row>
    <row r="1352" spans="1:2">
      <c r="A1352" s="22" t="s">
        <v>1138</v>
      </c>
      <c r="B1352" s="22"/>
    </row>
    <row r="1354" spans="1:2">
      <c r="A1354" s="19" t="s">
        <v>423</v>
      </c>
    </row>
    <row r="1356" spans="1:2">
      <c r="A1356" s="19" t="s">
        <v>424</v>
      </c>
    </row>
    <row r="1358" spans="1:2">
      <c r="A1358" s="22" t="s">
        <v>407</v>
      </c>
    </row>
    <row r="1360" spans="1:2">
      <c r="A1360" s="22">
        <v>2</v>
      </c>
    </row>
    <row r="1362" spans="1:2">
      <c r="A1362" s="19" t="s">
        <v>2124</v>
      </c>
      <c r="B1362" s="19"/>
    </row>
    <row r="1364" spans="1:2">
      <c r="A1364" s="22" t="s">
        <v>133</v>
      </c>
    </row>
    <row r="1365" spans="1:2">
      <c r="A1365" s="22" t="s">
        <v>131</v>
      </c>
      <c r="B1365" s="22"/>
    </row>
    <row r="1366" spans="1:2">
      <c r="A1366" s="22" t="s">
        <v>389</v>
      </c>
      <c r="B1366" s="22"/>
    </row>
    <row r="1368" spans="1:2">
      <c r="A1368" s="19" t="s">
        <v>400</v>
      </c>
      <c r="B1368" s="19"/>
    </row>
    <row r="1370" spans="1:2">
      <c r="A1370" s="19" t="s">
        <v>2110</v>
      </c>
      <c r="B1370" s="19"/>
    </row>
    <row r="1372" spans="1:2">
      <c r="A1372" s="22" t="s">
        <v>1028</v>
      </c>
      <c r="B1372" s="22"/>
    </row>
    <row r="1374" spans="1:2">
      <c r="A1374" s="22" t="s">
        <v>1140</v>
      </c>
      <c r="B1374" s="22"/>
    </row>
    <row r="1376" spans="1:2">
      <c r="A1376" s="22" t="s">
        <v>630</v>
      </c>
      <c r="B1376" s="22"/>
    </row>
    <row r="1378" spans="1:2">
      <c r="A1378" s="19" t="s">
        <v>406</v>
      </c>
    </row>
    <row r="1380" spans="1:2">
      <c r="A1380" s="22" t="s">
        <v>407</v>
      </c>
    </row>
    <row r="1382" spans="1:2">
      <c r="A1382" s="22">
        <v>6</v>
      </c>
    </row>
    <row r="1384" spans="1:2">
      <c r="A1384" s="22" t="s">
        <v>1141</v>
      </c>
      <c r="B1384" s="22"/>
    </row>
    <row r="1386" spans="1:2">
      <c r="A1386" s="22" t="s">
        <v>630</v>
      </c>
      <c r="B1386" s="22"/>
    </row>
    <row r="1388" spans="1:2">
      <c r="A1388" s="19" t="s">
        <v>423</v>
      </c>
    </row>
    <row r="1390" spans="1:2">
      <c r="A1390" s="19" t="s">
        <v>424</v>
      </c>
    </row>
    <row r="1392" spans="1:2">
      <c r="A1392" s="22" t="s">
        <v>407</v>
      </c>
    </row>
    <row r="1394" spans="1:2">
      <c r="A1394" s="22">
        <v>3</v>
      </c>
    </row>
    <row r="1396" spans="1:2">
      <c r="A1396" s="22" t="s">
        <v>1142</v>
      </c>
      <c r="B1396" s="22"/>
    </row>
    <row r="1398" spans="1:2">
      <c r="A1398" s="22" t="s">
        <v>630</v>
      </c>
      <c r="B1398" s="22"/>
    </row>
    <row r="1400" spans="1:2">
      <c r="A1400" s="19" t="s">
        <v>423</v>
      </c>
    </row>
    <row r="1402" spans="1:2">
      <c r="A1402" s="19" t="s">
        <v>424</v>
      </c>
    </row>
    <row r="1404" spans="1:2">
      <c r="A1404" s="22" t="s">
        <v>407</v>
      </c>
    </row>
    <row r="1406" spans="1:2">
      <c r="A1406" s="22">
        <v>3</v>
      </c>
    </row>
    <row r="1408" spans="1:2">
      <c r="A1408" s="22" t="s">
        <v>1143</v>
      </c>
      <c r="B1408" s="22"/>
    </row>
    <row r="1410" spans="1:2">
      <c r="A1410" s="22" t="s">
        <v>436</v>
      </c>
      <c r="B1410" s="22"/>
    </row>
    <row r="1412" spans="1:2">
      <c r="A1412" s="19" t="s">
        <v>423</v>
      </c>
    </row>
    <row r="1414" spans="1:2">
      <c r="A1414" s="19" t="s">
        <v>424</v>
      </c>
    </row>
    <row r="1416" spans="1:2">
      <c r="A1416" s="22" t="s">
        <v>407</v>
      </c>
    </row>
    <row r="1418" spans="1:2">
      <c r="A1418" s="22">
        <v>3</v>
      </c>
    </row>
    <row r="1420" spans="1:2">
      <c r="A1420" s="22" t="s">
        <v>1144</v>
      </c>
      <c r="B1420" s="22"/>
    </row>
    <row r="1422" spans="1:2">
      <c r="A1422" s="22" t="s">
        <v>418</v>
      </c>
      <c r="B1422" s="22"/>
    </row>
    <row r="1424" spans="1:2">
      <c r="A1424" s="19" t="s">
        <v>423</v>
      </c>
    </row>
    <row r="1426" spans="1:2">
      <c r="A1426" s="19" t="s">
        <v>424</v>
      </c>
    </row>
    <row r="1428" spans="1:2">
      <c r="A1428" s="22" t="s">
        <v>407</v>
      </c>
    </row>
    <row r="1430" spans="1:2">
      <c r="A1430" s="22">
        <v>3</v>
      </c>
    </row>
    <row r="1432" spans="1:2">
      <c r="A1432" s="22" t="s">
        <v>1145</v>
      </c>
      <c r="B1432" s="22"/>
    </row>
    <row r="1434" spans="1:2">
      <c r="A1434" s="22" t="s">
        <v>523</v>
      </c>
      <c r="B1434" s="22"/>
    </row>
    <row r="1436" spans="1:2">
      <c r="A1436" s="19" t="s">
        <v>423</v>
      </c>
    </row>
    <row r="1438" spans="1:2">
      <c r="A1438" s="19" t="s">
        <v>424</v>
      </c>
    </row>
    <row r="1440" spans="1:2">
      <c r="A1440" s="22" t="s">
        <v>407</v>
      </c>
    </row>
    <row r="1442" spans="1:2">
      <c r="A1442" s="22">
        <v>3</v>
      </c>
    </row>
    <row r="1444" spans="1:2">
      <c r="A1444" s="22" t="s">
        <v>1146</v>
      </c>
      <c r="B1444" s="22"/>
    </row>
    <row r="1446" spans="1:2">
      <c r="A1446" s="22" t="s">
        <v>532</v>
      </c>
      <c r="B1446" s="22"/>
    </row>
    <row r="1448" spans="1:2">
      <c r="A1448" s="19" t="s">
        <v>423</v>
      </c>
    </row>
    <row r="1450" spans="1:2">
      <c r="A1450" s="19" t="s">
        <v>424</v>
      </c>
    </row>
    <row r="1452" spans="1:2">
      <c r="A1452" s="22" t="s">
        <v>407</v>
      </c>
    </row>
    <row r="1454" spans="1:2">
      <c r="A1454" s="22">
        <v>3</v>
      </c>
    </row>
    <row r="1456" spans="1:2">
      <c r="A1456" s="22" t="s">
        <v>1147</v>
      </c>
      <c r="B1456" s="22"/>
    </row>
    <row r="1458" spans="1:2">
      <c r="A1458" s="22" t="s">
        <v>523</v>
      </c>
      <c r="B1458" s="22"/>
    </row>
    <row r="1460" spans="1:2">
      <c r="A1460" s="19" t="s">
        <v>423</v>
      </c>
    </row>
    <row r="1462" spans="1:2">
      <c r="A1462" s="19" t="s">
        <v>424</v>
      </c>
    </row>
    <row r="1464" spans="1:2">
      <c r="A1464" s="22" t="s">
        <v>407</v>
      </c>
    </row>
    <row r="1466" spans="1:2">
      <c r="A1466" s="22">
        <v>3</v>
      </c>
    </row>
    <row r="1468" spans="1:2">
      <c r="A1468" s="19" t="s">
        <v>2125</v>
      </c>
      <c r="B1468" s="19"/>
    </row>
    <row r="1470" spans="1:2">
      <c r="A1470" s="22" t="s">
        <v>133</v>
      </c>
    </row>
    <row r="1471" spans="1:2">
      <c r="A1471" s="22" t="s">
        <v>131</v>
      </c>
      <c r="B1471" s="22"/>
    </row>
    <row r="1472" spans="1:2">
      <c r="A1472" s="22" t="s">
        <v>389</v>
      </c>
      <c r="B1472" s="22"/>
    </row>
    <row r="1474" spans="1:2">
      <c r="A1474" s="19" t="s">
        <v>400</v>
      </c>
      <c r="B1474" s="19"/>
    </row>
    <row r="1476" spans="1:2">
      <c r="A1476" s="19" t="s">
        <v>2110</v>
      </c>
      <c r="B1476" s="19"/>
    </row>
    <row r="1478" spans="1:2">
      <c r="A1478" s="22" t="s">
        <v>1028</v>
      </c>
      <c r="B1478" s="22"/>
    </row>
    <row r="1480" spans="1:2">
      <c r="A1480" s="22" t="s">
        <v>1148</v>
      </c>
      <c r="B1480" s="22"/>
    </row>
    <row r="1482" spans="1:2">
      <c r="A1482" s="22" t="s">
        <v>460</v>
      </c>
      <c r="B1482" s="22"/>
    </row>
    <row r="1484" spans="1:2">
      <c r="A1484" s="19" t="s">
        <v>406</v>
      </c>
    </row>
    <row r="1486" spans="1:2">
      <c r="A1486" s="22" t="s">
        <v>407</v>
      </c>
    </row>
    <row r="1488" spans="1:2">
      <c r="A1488" s="22">
        <v>8</v>
      </c>
    </row>
    <row r="1490" spans="1:2">
      <c r="A1490" s="22" t="s">
        <v>1149</v>
      </c>
      <c r="B1490" s="22"/>
    </row>
    <row r="1492" spans="1:2">
      <c r="A1492" s="22" t="s">
        <v>601</v>
      </c>
      <c r="B1492" s="22"/>
    </row>
    <row r="1494" spans="1:2">
      <c r="A1494" s="19" t="s">
        <v>423</v>
      </c>
    </row>
    <row r="1496" spans="1:2">
      <c r="A1496" s="19" t="s">
        <v>424</v>
      </c>
    </row>
    <row r="1498" spans="1:2">
      <c r="A1498" s="22" t="s">
        <v>407</v>
      </c>
    </row>
    <row r="1500" spans="1:2">
      <c r="A1500" s="22">
        <v>2</v>
      </c>
    </row>
    <row r="1502" spans="1:2">
      <c r="A1502" s="22" t="s">
        <v>1150</v>
      </c>
      <c r="B1502" s="22"/>
    </row>
    <row r="1504" spans="1:2">
      <c r="A1504" s="22" t="s">
        <v>641</v>
      </c>
      <c r="B1504" s="22"/>
    </row>
    <row r="1506" spans="1:2">
      <c r="A1506" s="19" t="s">
        <v>423</v>
      </c>
    </row>
    <row r="1508" spans="1:2">
      <c r="A1508" s="19" t="s">
        <v>424</v>
      </c>
    </row>
    <row r="1510" spans="1:2">
      <c r="A1510" s="22" t="s">
        <v>407</v>
      </c>
    </row>
    <row r="1512" spans="1:2">
      <c r="A1512" s="22">
        <v>2</v>
      </c>
    </row>
    <row r="1514" spans="1:2">
      <c r="A1514" s="22" t="s">
        <v>1151</v>
      </c>
      <c r="B1514" s="22"/>
    </row>
    <row r="1516" spans="1:2">
      <c r="A1516" s="22" t="s">
        <v>669</v>
      </c>
      <c r="B1516" s="22"/>
    </row>
    <row r="1518" spans="1:2">
      <c r="A1518" s="19" t="s">
        <v>423</v>
      </c>
    </row>
    <row r="1520" spans="1:2">
      <c r="A1520" s="19" t="s">
        <v>424</v>
      </c>
    </row>
    <row r="1522" spans="1:2">
      <c r="A1522" s="22" t="s">
        <v>407</v>
      </c>
    </row>
    <row r="1524" spans="1:2">
      <c r="A1524" s="22">
        <v>2</v>
      </c>
    </row>
    <row r="1526" spans="1:2">
      <c r="A1526" s="22" t="s">
        <v>1152</v>
      </c>
      <c r="B1526" s="22"/>
    </row>
    <row r="1528" spans="1:2">
      <c r="A1528" s="22" t="s">
        <v>650</v>
      </c>
      <c r="B1528" s="22"/>
    </row>
    <row r="1530" spans="1:2">
      <c r="A1530" s="19" t="s">
        <v>423</v>
      </c>
    </row>
    <row r="1532" spans="1:2">
      <c r="A1532" s="19" t="s">
        <v>424</v>
      </c>
    </row>
    <row r="1534" spans="1:2">
      <c r="A1534" s="22" t="s">
        <v>407</v>
      </c>
    </row>
    <row r="1536" spans="1:2">
      <c r="A1536" s="22">
        <v>6</v>
      </c>
    </row>
    <row r="1538" spans="1:2">
      <c r="A1538" s="22" t="s">
        <v>1153</v>
      </c>
      <c r="B1538" s="22"/>
    </row>
    <row r="1540" spans="1:2">
      <c r="A1540" s="22" t="s">
        <v>650</v>
      </c>
      <c r="B1540" s="22"/>
    </row>
    <row r="1542" spans="1:2">
      <c r="A1542" s="19" t="s">
        <v>423</v>
      </c>
    </row>
    <row r="1544" spans="1:2">
      <c r="A1544" s="19" t="s">
        <v>424</v>
      </c>
    </row>
    <row r="1546" spans="1:2">
      <c r="A1546" s="22" t="s">
        <v>407</v>
      </c>
    </row>
    <row r="1548" spans="1:2">
      <c r="A1548" s="22">
        <v>6</v>
      </c>
    </row>
    <row r="1550" spans="1:2">
      <c r="A1550" s="22" t="s">
        <v>1154</v>
      </c>
      <c r="B1550" s="22"/>
    </row>
    <row r="1552" spans="1:2">
      <c r="A1552" s="22" t="s">
        <v>741</v>
      </c>
      <c r="B1552" s="22"/>
    </row>
    <row r="1554" spans="1:2">
      <c r="A1554" s="19" t="s">
        <v>423</v>
      </c>
    </row>
    <row r="1556" spans="1:2">
      <c r="A1556" s="19" t="s">
        <v>424</v>
      </c>
    </row>
    <row r="1558" spans="1:2">
      <c r="A1558" s="22" t="s">
        <v>407</v>
      </c>
    </row>
    <row r="1560" spans="1:2">
      <c r="A1560" s="22">
        <v>3</v>
      </c>
    </row>
    <row r="1562" spans="1:2">
      <c r="A1562" s="22" t="s">
        <v>1155</v>
      </c>
      <c r="B1562" s="22"/>
    </row>
    <row r="1564" spans="1:2">
      <c r="A1564" s="22" t="s">
        <v>544</v>
      </c>
      <c r="B1564" s="22"/>
    </row>
    <row r="1566" spans="1:2">
      <c r="A1566" s="19" t="s">
        <v>423</v>
      </c>
    </row>
    <row r="1568" spans="1:2">
      <c r="A1568" s="19" t="s">
        <v>424</v>
      </c>
    </row>
    <row r="1570" spans="1:2">
      <c r="A1570" s="22" t="s">
        <v>407</v>
      </c>
    </row>
    <row r="1572" spans="1:2">
      <c r="A1572" s="22">
        <v>3</v>
      </c>
    </row>
    <row r="1574" spans="1:2">
      <c r="A1574" s="19" t="s">
        <v>2126</v>
      </c>
      <c r="B1574" s="19"/>
    </row>
    <row r="1576" spans="1:2">
      <c r="A1576" s="22" t="s">
        <v>133</v>
      </c>
    </row>
    <row r="1577" spans="1:2">
      <c r="A1577" s="22" t="s">
        <v>131</v>
      </c>
      <c r="B1577" s="22"/>
    </row>
    <row r="1578" spans="1:2">
      <c r="A1578" s="22" t="s">
        <v>389</v>
      </c>
      <c r="B1578" s="22"/>
    </row>
    <row r="1580" spans="1:2">
      <c r="A1580" s="19" t="s">
        <v>400</v>
      </c>
      <c r="B1580" s="19"/>
    </row>
    <row r="1582" spans="1:2">
      <c r="A1582" s="19" t="s">
        <v>2110</v>
      </c>
      <c r="B1582" s="19"/>
    </row>
    <row r="1584" spans="1:2">
      <c r="A1584" s="22" t="s">
        <v>1028</v>
      </c>
      <c r="B1584" s="22"/>
    </row>
    <row r="1586" spans="1:2">
      <c r="A1586" s="22" t="s">
        <v>1156</v>
      </c>
      <c r="B1586" s="22"/>
    </row>
    <row r="1588" spans="1:2">
      <c r="A1588" s="22" t="s">
        <v>643</v>
      </c>
      <c r="B1588" s="22"/>
    </row>
    <row r="1590" spans="1:2">
      <c r="A1590" s="19" t="s">
        <v>406</v>
      </c>
    </row>
    <row r="1592" spans="1:2">
      <c r="A1592" s="22" t="s">
        <v>407</v>
      </c>
    </row>
    <row r="1594" spans="1:2">
      <c r="A1594" s="22">
        <v>3</v>
      </c>
    </row>
    <row r="1596" spans="1:2">
      <c r="A1596" s="22" t="s">
        <v>1157</v>
      </c>
      <c r="B1596" s="22"/>
    </row>
    <row r="1598" spans="1:2">
      <c r="A1598" s="22" t="s">
        <v>770</v>
      </c>
      <c r="B1598" s="22"/>
    </row>
    <row r="1600" spans="1:2">
      <c r="A1600" s="19" t="s">
        <v>423</v>
      </c>
    </row>
    <row r="1602" spans="1:2">
      <c r="A1602" s="19" t="s">
        <v>424</v>
      </c>
    </row>
    <row r="1604" spans="1:2">
      <c r="A1604" s="22" t="s">
        <v>407</v>
      </c>
    </row>
    <row r="1606" spans="1:2">
      <c r="A1606" s="22">
        <v>2</v>
      </c>
    </row>
    <row r="1608" spans="1:2">
      <c r="A1608" s="22" t="s">
        <v>1158</v>
      </c>
      <c r="B1608" s="22"/>
    </row>
    <row r="1610" spans="1:2">
      <c r="A1610" s="22" t="s">
        <v>550</v>
      </c>
      <c r="B1610" s="22"/>
    </row>
    <row r="1612" spans="1:2">
      <c r="A1612" s="19" t="s">
        <v>423</v>
      </c>
    </row>
    <row r="1614" spans="1:2">
      <c r="A1614" s="19" t="s">
        <v>424</v>
      </c>
    </row>
    <row r="1616" spans="1:2">
      <c r="A1616" s="22" t="s">
        <v>407</v>
      </c>
    </row>
    <row r="1618" spans="1:2">
      <c r="A1618" s="22">
        <v>2</v>
      </c>
    </row>
    <row r="1620" spans="1:2">
      <c r="A1620" s="22" t="s">
        <v>1159</v>
      </c>
      <c r="B1620" s="22"/>
    </row>
    <row r="1622" spans="1:2">
      <c r="A1622" s="22" t="s">
        <v>947</v>
      </c>
      <c r="B1622" s="22"/>
    </row>
    <row r="1624" spans="1:2">
      <c r="A1624" s="19" t="s">
        <v>423</v>
      </c>
    </row>
    <row r="1626" spans="1:2">
      <c r="A1626" s="19" t="s">
        <v>424</v>
      </c>
    </row>
    <row r="1628" spans="1:2">
      <c r="A1628" s="22" t="s">
        <v>407</v>
      </c>
    </row>
    <row r="1630" spans="1:2">
      <c r="A1630" s="22">
        <v>2</v>
      </c>
    </row>
    <row r="1632" spans="1:2">
      <c r="A1632" s="22" t="s">
        <v>1160</v>
      </c>
      <c r="B1632" s="22"/>
    </row>
    <row r="1634" spans="1:2">
      <c r="A1634" s="22" t="s">
        <v>552</v>
      </c>
      <c r="B1634" s="22"/>
    </row>
    <row r="1636" spans="1:2">
      <c r="A1636" s="19" t="s">
        <v>423</v>
      </c>
    </row>
    <row r="1638" spans="1:2">
      <c r="A1638" s="19" t="s">
        <v>424</v>
      </c>
    </row>
    <row r="1640" spans="1:2">
      <c r="A1640" s="22" t="s">
        <v>407</v>
      </c>
    </row>
    <row r="1642" spans="1:2">
      <c r="A1642" s="22">
        <v>3</v>
      </c>
    </row>
    <row r="1644" spans="1:2">
      <c r="A1644" s="22" t="s">
        <v>1161</v>
      </c>
      <c r="B1644" s="22"/>
    </row>
    <row r="1646" spans="1:2">
      <c r="A1646" s="22" t="s">
        <v>747</v>
      </c>
      <c r="B1646" s="22"/>
    </row>
    <row r="1648" spans="1:2">
      <c r="A1648" s="19" t="s">
        <v>423</v>
      </c>
    </row>
    <row r="1650" spans="1:2">
      <c r="A1650" s="19" t="s">
        <v>424</v>
      </c>
    </row>
    <row r="1652" spans="1:2">
      <c r="A1652" s="22" t="s">
        <v>407</v>
      </c>
    </row>
    <row r="1654" spans="1:2">
      <c r="A1654" s="22">
        <v>3</v>
      </c>
    </row>
    <row r="1656" spans="1:2">
      <c r="A1656" s="22" t="s">
        <v>1162</v>
      </c>
      <c r="B1656" s="22"/>
    </row>
    <row r="1658" spans="1:2">
      <c r="A1658" s="22" t="s">
        <v>405</v>
      </c>
      <c r="B1658" s="22"/>
    </row>
    <row r="1660" spans="1:2">
      <c r="A1660" s="19" t="s">
        <v>423</v>
      </c>
    </row>
    <row r="1662" spans="1:2">
      <c r="A1662" s="19" t="s">
        <v>424</v>
      </c>
    </row>
    <row r="1664" spans="1:2">
      <c r="A1664" s="22" t="s">
        <v>407</v>
      </c>
    </row>
    <row r="1666" spans="1:2">
      <c r="A1666" s="22">
        <v>2</v>
      </c>
    </row>
    <row r="1668" spans="1:2">
      <c r="A1668" s="22" t="s">
        <v>1163</v>
      </c>
      <c r="B1668" s="22"/>
    </row>
    <row r="1670" spans="1:2">
      <c r="A1670" s="22" t="s">
        <v>517</v>
      </c>
      <c r="B1670" s="22"/>
    </row>
    <row r="1672" spans="1:2">
      <c r="A1672" s="19" t="s">
        <v>423</v>
      </c>
    </row>
    <row r="1674" spans="1:2">
      <c r="A1674" s="19" t="s">
        <v>424</v>
      </c>
    </row>
    <row r="1676" spans="1:2">
      <c r="A1676" s="22" t="s">
        <v>407</v>
      </c>
    </row>
    <row r="1678" spans="1:2">
      <c r="A1678" s="22">
        <v>2</v>
      </c>
    </row>
    <row r="1680" spans="1:2">
      <c r="A1680" s="19" t="s">
        <v>2127</v>
      </c>
      <c r="B1680" s="19"/>
    </row>
    <row r="1682" spans="1:2">
      <c r="A1682" s="22" t="s">
        <v>133</v>
      </c>
    </row>
    <row r="1683" spans="1:2">
      <c r="A1683" s="22" t="s">
        <v>131</v>
      </c>
      <c r="B1683" s="22"/>
    </row>
    <row r="1684" spans="1:2">
      <c r="A1684" s="22" t="s">
        <v>389</v>
      </c>
      <c r="B1684" s="22"/>
    </row>
    <row r="1686" spans="1:2">
      <c r="A1686" s="19" t="s">
        <v>400</v>
      </c>
      <c r="B1686" s="19"/>
    </row>
    <row r="1688" spans="1:2">
      <c r="A1688" s="19" t="s">
        <v>2110</v>
      </c>
      <c r="B1688" s="19"/>
    </row>
    <row r="1690" spans="1:2">
      <c r="A1690" s="22" t="s">
        <v>1028</v>
      </c>
      <c r="B1690" s="22"/>
    </row>
    <row r="1692" spans="1:2">
      <c r="A1692" s="22" t="s">
        <v>1164</v>
      </c>
      <c r="B1692" s="22"/>
    </row>
    <row r="1694" spans="1:2">
      <c r="A1694" s="22" t="s">
        <v>413</v>
      </c>
      <c r="B1694" s="22"/>
    </row>
    <row r="1696" spans="1:2">
      <c r="A1696" s="19" t="s">
        <v>406</v>
      </c>
    </row>
    <row r="1698" spans="1:2">
      <c r="A1698" s="22" t="s">
        <v>407</v>
      </c>
    </row>
    <row r="1700" spans="1:2">
      <c r="A1700" s="22">
        <v>3</v>
      </c>
    </row>
    <row r="1702" spans="1:2">
      <c r="A1702" s="22" t="s">
        <v>1165</v>
      </c>
      <c r="B1702" s="22"/>
    </row>
    <row r="1704" spans="1:2">
      <c r="A1704" s="22" t="s">
        <v>550</v>
      </c>
      <c r="B1704" s="22"/>
    </row>
    <row r="1706" spans="1:2">
      <c r="A1706" s="19" t="s">
        <v>423</v>
      </c>
    </row>
    <row r="1708" spans="1:2">
      <c r="A1708" s="19" t="s">
        <v>424</v>
      </c>
    </row>
    <row r="1710" spans="1:2">
      <c r="A1710" s="22" t="s">
        <v>407</v>
      </c>
    </row>
    <row r="1712" spans="1:2">
      <c r="A1712" s="22">
        <v>2</v>
      </c>
    </row>
    <row r="1714" spans="1:2">
      <c r="A1714" s="22" t="s">
        <v>1166</v>
      </c>
      <c r="B1714" s="22"/>
    </row>
    <row r="1716" spans="1:2">
      <c r="A1716" s="22" t="s">
        <v>418</v>
      </c>
      <c r="B1716" s="22"/>
    </row>
    <row r="1718" spans="1:2">
      <c r="A1718" s="19" t="s">
        <v>423</v>
      </c>
    </row>
    <row r="1720" spans="1:2">
      <c r="A1720" s="19" t="s">
        <v>424</v>
      </c>
    </row>
    <row r="1722" spans="1:2">
      <c r="A1722" s="22" t="s">
        <v>407</v>
      </c>
    </row>
    <row r="1724" spans="1:2">
      <c r="A1724" s="22">
        <v>3</v>
      </c>
    </row>
    <row r="1726" spans="1:2">
      <c r="A1726" s="22" t="s">
        <v>1167</v>
      </c>
      <c r="B1726" s="22"/>
    </row>
    <row r="1728" spans="1:2">
      <c r="A1728" s="22" t="s">
        <v>428</v>
      </c>
      <c r="B1728" s="22"/>
    </row>
    <row r="1730" spans="1:2">
      <c r="A1730" s="19" t="s">
        <v>423</v>
      </c>
    </row>
    <row r="1732" spans="1:2">
      <c r="A1732" s="19" t="s">
        <v>424</v>
      </c>
    </row>
    <row r="1734" spans="1:2">
      <c r="A1734" s="22" t="s">
        <v>407</v>
      </c>
    </row>
    <row r="1736" spans="1:2">
      <c r="A1736" s="22">
        <v>1</v>
      </c>
    </row>
    <row r="1738" spans="1:2">
      <c r="A1738" s="22" t="s">
        <v>1168</v>
      </c>
      <c r="B1738" s="22"/>
    </row>
    <row r="1740" spans="1:2">
      <c r="A1740" s="22" t="s">
        <v>418</v>
      </c>
      <c r="B1740" s="22"/>
    </row>
    <row r="1742" spans="1:2">
      <c r="A1742" s="19" t="s">
        <v>423</v>
      </c>
    </row>
    <row r="1744" spans="1:2">
      <c r="A1744" s="19" t="s">
        <v>424</v>
      </c>
    </row>
    <row r="1746" spans="1:2">
      <c r="A1746" s="22" t="s">
        <v>407</v>
      </c>
    </row>
    <row r="1748" spans="1:2">
      <c r="A1748" s="22">
        <v>1</v>
      </c>
    </row>
    <row r="1750" spans="1:2">
      <c r="A1750" s="22" t="s">
        <v>1169</v>
      </c>
      <c r="B1750" s="22"/>
    </row>
    <row r="1752" spans="1:2">
      <c r="A1752" s="22" t="s">
        <v>428</v>
      </c>
      <c r="B1752" s="22"/>
    </row>
    <row r="1754" spans="1:2">
      <c r="A1754" s="19" t="s">
        <v>423</v>
      </c>
    </row>
    <row r="1756" spans="1:2">
      <c r="A1756" s="19" t="s">
        <v>424</v>
      </c>
    </row>
    <row r="1758" spans="1:2">
      <c r="A1758" s="22" t="s">
        <v>407</v>
      </c>
    </row>
    <row r="1760" spans="1:2">
      <c r="A1760" s="22">
        <v>1</v>
      </c>
    </row>
    <row r="1762" spans="1:2">
      <c r="A1762" s="22" t="s">
        <v>1170</v>
      </c>
      <c r="B1762" s="22"/>
    </row>
    <row r="1764" spans="1:2">
      <c r="A1764" s="22" t="s">
        <v>438</v>
      </c>
      <c r="B1764" s="22"/>
    </row>
    <row r="1766" spans="1:2">
      <c r="A1766" s="19" t="s">
        <v>423</v>
      </c>
    </row>
    <row r="1768" spans="1:2">
      <c r="A1768" s="19" t="s">
        <v>424</v>
      </c>
    </row>
    <row r="1770" spans="1:2">
      <c r="A1770" s="22" t="s">
        <v>407</v>
      </c>
    </row>
    <row r="1772" spans="1:2">
      <c r="A1772" s="22">
        <v>2</v>
      </c>
    </row>
    <row r="1774" spans="1:2">
      <c r="A1774" s="22" t="s">
        <v>1171</v>
      </c>
      <c r="B1774" s="22"/>
    </row>
    <row r="1776" spans="1:2">
      <c r="A1776" s="22" t="s">
        <v>601</v>
      </c>
      <c r="B1776" s="22"/>
    </row>
    <row r="1778" spans="1:2">
      <c r="A1778" s="19" t="s">
        <v>423</v>
      </c>
    </row>
    <row r="1780" spans="1:2">
      <c r="A1780" s="19" t="s">
        <v>424</v>
      </c>
    </row>
    <row r="1782" spans="1:2">
      <c r="A1782" s="22" t="s">
        <v>407</v>
      </c>
    </row>
    <row r="1784" spans="1:2">
      <c r="A1784" s="22">
        <v>2</v>
      </c>
    </row>
    <row r="1786" spans="1:2">
      <c r="A1786" s="19" t="s">
        <v>2128</v>
      </c>
      <c r="B1786" s="19"/>
    </row>
    <row r="1788" spans="1:2">
      <c r="A1788" s="22" t="s">
        <v>133</v>
      </c>
    </row>
    <row r="1789" spans="1:2">
      <c r="A1789" s="22" t="s">
        <v>131</v>
      </c>
      <c r="B1789" s="22"/>
    </row>
    <row r="1790" spans="1:2">
      <c r="A1790" s="22" t="s">
        <v>389</v>
      </c>
      <c r="B1790" s="22"/>
    </row>
    <row r="1792" spans="1:2">
      <c r="A1792" s="19" t="s">
        <v>400</v>
      </c>
      <c r="B1792" s="19"/>
    </row>
    <row r="1794" spans="1:2">
      <c r="A1794" s="19" t="s">
        <v>2110</v>
      </c>
      <c r="B1794" s="19"/>
    </row>
    <row r="1796" spans="1:2">
      <c r="A1796" s="22" t="s">
        <v>1028</v>
      </c>
      <c r="B1796" s="22"/>
    </row>
    <row r="1798" spans="1:2">
      <c r="A1798" s="22" t="s">
        <v>1172</v>
      </c>
      <c r="B1798" s="22"/>
    </row>
    <row r="1800" spans="1:2">
      <c r="A1800" s="22" t="s">
        <v>428</v>
      </c>
      <c r="B1800" s="22"/>
    </row>
    <row r="1802" spans="1:2">
      <c r="A1802" s="19" t="s">
        <v>406</v>
      </c>
    </row>
    <row r="1804" spans="1:2">
      <c r="A1804" s="22" t="s">
        <v>407</v>
      </c>
    </row>
    <row r="1806" spans="1:2">
      <c r="A1806" s="22">
        <v>1</v>
      </c>
    </row>
    <row r="1808" spans="1:2">
      <c r="A1808" s="22" t="s">
        <v>1173</v>
      </c>
      <c r="B1808" s="22"/>
    </row>
    <row r="1810" spans="1:2">
      <c r="A1810" s="22" t="s">
        <v>418</v>
      </c>
      <c r="B1810" s="22"/>
    </row>
    <row r="1812" spans="1:2">
      <c r="A1812" s="19" t="s">
        <v>423</v>
      </c>
    </row>
    <row r="1814" spans="1:2">
      <c r="A1814" s="19" t="s">
        <v>424</v>
      </c>
    </row>
    <row r="1816" spans="1:2">
      <c r="A1816" s="22" t="s">
        <v>407</v>
      </c>
    </row>
    <row r="1818" spans="1:2">
      <c r="A1818" s="22">
        <v>3</v>
      </c>
    </row>
    <row r="1820" spans="1:2">
      <c r="A1820" s="22" t="s">
        <v>1174</v>
      </c>
      <c r="B1820" s="22"/>
    </row>
    <row r="1822" spans="1:2">
      <c r="A1822" s="22" t="s">
        <v>422</v>
      </c>
      <c r="B1822" s="22"/>
    </row>
    <row r="1824" spans="1:2">
      <c r="A1824" s="19" t="s">
        <v>423</v>
      </c>
    </row>
    <row r="1826" spans="1:2">
      <c r="A1826" s="19" t="s">
        <v>424</v>
      </c>
    </row>
    <row r="1828" spans="1:2">
      <c r="A1828" s="22" t="s">
        <v>407</v>
      </c>
    </row>
    <row r="1830" spans="1:2">
      <c r="A1830" s="22">
        <v>2</v>
      </c>
    </row>
    <row r="1832" spans="1:2">
      <c r="A1832" s="22" t="s">
        <v>1175</v>
      </c>
      <c r="B1832" s="22"/>
    </row>
    <row r="1834" spans="1:2">
      <c r="A1834" s="22" t="s">
        <v>430</v>
      </c>
      <c r="B1834" s="22"/>
    </row>
    <row r="1836" spans="1:2">
      <c r="A1836" s="19" t="s">
        <v>423</v>
      </c>
    </row>
    <row r="1838" spans="1:2">
      <c r="A1838" s="19" t="s">
        <v>424</v>
      </c>
    </row>
    <row r="1840" spans="1:2">
      <c r="A1840" s="22" t="s">
        <v>407</v>
      </c>
    </row>
    <row r="1842" spans="1:2">
      <c r="A1842" s="22">
        <v>2</v>
      </c>
    </row>
    <row r="1844" spans="1:2">
      <c r="A1844" s="22" t="s">
        <v>1176</v>
      </c>
      <c r="B1844" s="22"/>
    </row>
    <row r="1846" spans="1:2">
      <c r="A1846" s="22" t="s">
        <v>1092</v>
      </c>
      <c r="B1846" s="22"/>
    </row>
    <row r="1848" spans="1:2">
      <c r="A1848" s="19" t="s">
        <v>423</v>
      </c>
    </row>
    <row r="1850" spans="1:2">
      <c r="A1850" s="19" t="s">
        <v>424</v>
      </c>
    </row>
    <row r="1852" spans="1:2">
      <c r="A1852" s="22" t="s">
        <v>407</v>
      </c>
    </row>
    <row r="1854" spans="1:2">
      <c r="A1854" s="22">
        <v>2</v>
      </c>
    </row>
    <row r="1856" spans="1:2">
      <c r="A1856" s="22" t="s">
        <v>1177</v>
      </c>
      <c r="B1856" s="22"/>
    </row>
    <row r="1858" spans="1:2">
      <c r="A1858" s="22" t="s">
        <v>1092</v>
      </c>
      <c r="B1858" s="22"/>
    </row>
    <row r="1860" spans="1:2">
      <c r="A1860" s="19" t="s">
        <v>423</v>
      </c>
    </row>
    <row r="1862" spans="1:2">
      <c r="A1862" s="19" t="s">
        <v>424</v>
      </c>
    </row>
    <row r="1864" spans="1:2">
      <c r="A1864" s="22" t="s">
        <v>407</v>
      </c>
    </row>
    <row r="1866" spans="1:2">
      <c r="A1866" s="22">
        <v>2</v>
      </c>
    </row>
    <row r="1868" spans="1:2">
      <c r="A1868" s="22" t="s">
        <v>1178</v>
      </c>
      <c r="B1868" s="22"/>
    </row>
    <row r="1870" spans="1:2">
      <c r="A1870" s="22" t="s">
        <v>432</v>
      </c>
      <c r="B1870" s="22"/>
    </row>
    <row r="1872" spans="1:2">
      <c r="A1872" s="19" t="s">
        <v>423</v>
      </c>
    </row>
    <row r="1874" spans="1:2">
      <c r="A1874" s="19" t="s">
        <v>424</v>
      </c>
    </row>
    <row r="1876" spans="1:2">
      <c r="A1876" s="22" t="s">
        <v>407</v>
      </c>
    </row>
    <row r="1878" spans="1:2">
      <c r="A1878" s="22">
        <v>3</v>
      </c>
    </row>
    <row r="1880" spans="1:2">
      <c r="A1880" s="22" t="s">
        <v>1179</v>
      </c>
      <c r="B1880" s="22"/>
    </row>
    <row r="1882" spans="1:2">
      <c r="A1882" s="22" t="s">
        <v>507</v>
      </c>
      <c r="B1882" s="22"/>
    </row>
    <row r="1884" spans="1:2">
      <c r="A1884" s="19" t="s">
        <v>423</v>
      </c>
    </row>
    <row r="1886" spans="1:2">
      <c r="A1886" s="19" t="s">
        <v>424</v>
      </c>
    </row>
    <row r="1888" spans="1:2">
      <c r="A1888" s="22" t="s">
        <v>407</v>
      </c>
    </row>
    <row r="1890" spans="1:2">
      <c r="A1890" s="22">
        <v>6</v>
      </c>
    </row>
    <row r="1892" spans="1:2">
      <c r="A1892" s="19" t="s">
        <v>2129</v>
      </c>
      <c r="B1892" s="19"/>
    </row>
    <row r="1894" spans="1:2">
      <c r="A1894" s="22" t="s">
        <v>133</v>
      </c>
    </row>
    <row r="1895" spans="1:2">
      <c r="A1895" s="22" t="s">
        <v>131</v>
      </c>
      <c r="B1895" s="22"/>
    </row>
    <row r="1896" spans="1:2">
      <c r="A1896" s="22" t="s">
        <v>389</v>
      </c>
      <c r="B1896" s="22"/>
    </row>
    <row r="1898" spans="1:2">
      <c r="A1898" s="19" t="s">
        <v>400</v>
      </c>
      <c r="B1898" s="19"/>
    </row>
    <row r="1900" spans="1:2">
      <c r="A1900" s="19" t="s">
        <v>2110</v>
      </c>
      <c r="B1900" s="19"/>
    </row>
    <row r="1902" spans="1:2">
      <c r="A1902" s="22" t="s">
        <v>1028</v>
      </c>
      <c r="B1902" s="22"/>
    </row>
    <row r="1904" spans="1:2">
      <c r="A1904" s="22" t="s">
        <v>1180</v>
      </c>
      <c r="B1904" s="22"/>
    </row>
    <row r="1906" spans="1:2">
      <c r="A1906" s="22" t="s">
        <v>430</v>
      </c>
      <c r="B1906" s="22"/>
    </row>
    <row r="1908" spans="1:2">
      <c r="A1908" s="19" t="s">
        <v>406</v>
      </c>
    </row>
    <row r="1910" spans="1:2">
      <c r="A1910" s="22" t="s">
        <v>407</v>
      </c>
    </row>
    <row r="1912" spans="1:2">
      <c r="A1912" s="22">
        <v>1</v>
      </c>
    </row>
    <row r="1914" spans="1:2">
      <c r="A1914" s="22" t="s">
        <v>1181</v>
      </c>
      <c r="B1914" s="22"/>
    </row>
    <row r="1916" spans="1:2">
      <c r="A1916" s="22" t="s">
        <v>438</v>
      </c>
      <c r="B1916" s="22"/>
    </row>
    <row r="1918" spans="1:2">
      <c r="A1918" s="19" t="s">
        <v>423</v>
      </c>
    </row>
    <row r="1920" spans="1:2">
      <c r="A1920" s="19" t="s">
        <v>424</v>
      </c>
    </row>
    <row r="1922" spans="1:2">
      <c r="A1922" s="22" t="s">
        <v>407</v>
      </c>
    </row>
    <row r="1924" spans="1:2">
      <c r="A1924" s="22">
        <v>2</v>
      </c>
    </row>
    <row r="1926" spans="1:2">
      <c r="A1926" s="22" t="s">
        <v>1182</v>
      </c>
      <c r="B1926" s="22"/>
    </row>
    <row r="1928" spans="1:2">
      <c r="A1928" s="22" t="s">
        <v>441</v>
      </c>
      <c r="B1928" s="22"/>
    </row>
    <row r="1930" spans="1:2">
      <c r="A1930" s="19" t="s">
        <v>423</v>
      </c>
    </row>
    <row r="1932" spans="1:2">
      <c r="A1932" s="19" t="s">
        <v>424</v>
      </c>
    </row>
    <row r="1934" spans="1:2">
      <c r="A1934" s="22" t="s">
        <v>407</v>
      </c>
    </row>
    <row r="1936" spans="1:2">
      <c r="A1936" s="22">
        <v>2</v>
      </c>
    </row>
    <row r="1938" spans="1:2">
      <c r="A1938" s="22" t="s">
        <v>1183</v>
      </c>
      <c r="B1938" s="22"/>
    </row>
    <row r="1940" spans="1:2">
      <c r="A1940" s="22" t="s">
        <v>489</v>
      </c>
      <c r="B1940" s="22"/>
    </row>
    <row r="1942" spans="1:2">
      <c r="A1942" s="19" t="s">
        <v>423</v>
      </c>
    </row>
    <row r="1944" spans="1:2">
      <c r="A1944" s="19" t="s">
        <v>424</v>
      </c>
    </row>
    <row r="1946" spans="1:2">
      <c r="A1946" s="22" t="s">
        <v>407</v>
      </c>
    </row>
    <row r="1948" spans="1:2">
      <c r="A1948" s="22">
        <v>2</v>
      </c>
    </row>
    <row r="1950" spans="1:2">
      <c r="A1950" s="22" t="s">
        <v>1184</v>
      </c>
      <c r="B1950" s="22"/>
    </row>
    <row r="1952" spans="1:2">
      <c r="A1952" s="22" t="s">
        <v>701</v>
      </c>
      <c r="B1952" s="22"/>
    </row>
    <row r="1954" spans="1:2">
      <c r="A1954" s="19" t="s">
        <v>423</v>
      </c>
    </row>
    <row r="1956" spans="1:2">
      <c r="A1956" s="19" t="s">
        <v>424</v>
      </c>
    </row>
    <row r="1958" spans="1:2">
      <c r="A1958" s="22" t="s">
        <v>407</v>
      </c>
    </row>
    <row r="1960" spans="1:2">
      <c r="A1960" s="22">
        <v>2</v>
      </c>
    </row>
    <row r="1962" spans="1:2">
      <c r="A1962" s="22" t="s">
        <v>1185</v>
      </c>
      <c r="B1962" s="22"/>
    </row>
    <row r="1964" spans="1:2">
      <c r="A1964" s="22" t="s">
        <v>432</v>
      </c>
      <c r="B1964" s="22"/>
    </row>
    <row r="1966" spans="1:2">
      <c r="A1966" s="19" t="s">
        <v>423</v>
      </c>
    </row>
    <row r="1968" spans="1:2">
      <c r="A1968" s="19" t="s">
        <v>424</v>
      </c>
    </row>
    <row r="1970" spans="1:2">
      <c r="A1970" s="22" t="s">
        <v>407</v>
      </c>
    </row>
    <row r="1972" spans="1:2">
      <c r="A1972" s="22">
        <v>3</v>
      </c>
    </row>
    <row r="1974" spans="1:2">
      <c r="A1974" s="22" t="s">
        <v>1186</v>
      </c>
      <c r="B1974" s="22"/>
    </row>
    <row r="1976" spans="1:2">
      <c r="A1976" s="22" t="s">
        <v>733</v>
      </c>
      <c r="B1976" s="22"/>
    </row>
    <row r="1978" spans="1:2">
      <c r="A1978" s="19" t="s">
        <v>423</v>
      </c>
    </row>
    <row r="1980" spans="1:2">
      <c r="A1980" s="19" t="s">
        <v>424</v>
      </c>
    </row>
    <row r="1982" spans="1:2">
      <c r="A1982" s="22" t="s">
        <v>407</v>
      </c>
    </row>
    <row r="1984" spans="1:2">
      <c r="A1984" s="22">
        <v>2</v>
      </c>
    </row>
    <row r="1986" spans="1:2">
      <c r="A1986" s="22" t="s">
        <v>1187</v>
      </c>
      <c r="B1986" s="22"/>
    </row>
    <row r="1988" spans="1:2">
      <c r="A1988" s="22" t="s">
        <v>707</v>
      </c>
      <c r="B1988" s="22"/>
    </row>
    <row r="1990" spans="1:2">
      <c r="A1990" s="19" t="s">
        <v>423</v>
      </c>
    </row>
    <row r="1992" spans="1:2">
      <c r="A1992" s="19" t="s">
        <v>424</v>
      </c>
    </row>
    <row r="1994" spans="1:2">
      <c r="A1994" s="22" t="s">
        <v>407</v>
      </c>
    </row>
    <row r="1996" spans="1:2">
      <c r="A1996" s="22">
        <v>3</v>
      </c>
    </row>
    <row r="1998" spans="1:2">
      <c r="A1998" s="19" t="s">
        <v>2130</v>
      </c>
      <c r="B1998" s="19"/>
    </row>
    <row r="2000" spans="1:2">
      <c r="A2000" s="22" t="s">
        <v>133</v>
      </c>
    </row>
    <row r="2001" spans="1:2">
      <c r="A2001" s="22" t="s">
        <v>131</v>
      </c>
      <c r="B2001" s="22"/>
    </row>
    <row r="2002" spans="1:2">
      <c r="A2002" s="22" t="s">
        <v>389</v>
      </c>
      <c r="B2002" s="22"/>
    </row>
    <row r="2004" spans="1:2">
      <c r="A2004" s="19" t="s">
        <v>400</v>
      </c>
      <c r="B2004" s="19"/>
    </row>
    <row r="2006" spans="1:2">
      <c r="A2006" s="19" t="s">
        <v>2110</v>
      </c>
      <c r="B2006" s="19"/>
    </row>
    <row r="2008" spans="1:2">
      <c r="A2008" s="22" t="s">
        <v>1028</v>
      </c>
      <c r="B2008" s="22"/>
    </row>
    <row r="2010" spans="1:2">
      <c r="A2010" s="22" t="s">
        <v>1188</v>
      </c>
      <c r="B2010" s="22"/>
    </row>
    <row r="2012" spans="1:2">
      <c r="A2012" s="22" t="s">
        <v>446</v>
      </c>
      <c r="B2012" s="22"/>
    </row>
    <row r="2014" spans="1:2">
      <c r="A2014" s="19" t="s">
        <v>406</v>
      </c>
    </row>
    <row r="2016" spans="1:2">
      <c r="A2016" s="22" t="s">
        <v>407</v>
      </c>
    </row>
    <row r="2018" spans="1:2">
      <c r="A2018" s="22">
        <v>2</v>
      </c>
    </row>
    <row r="2020" spans="1:2">
      <c r="A2020" s="22" t="s">
        <v>1189</v>
      </c>
      <c r="B2020" s="22"/>
    </row>
    <row r="2022" spans="1:2">
      <c r="A2022" s="22" t="s">
        <v>446</v>
      </c>
      <c r="B2022" s="22"/>
    </row>
    <row r="2024" spans="1:2">
      <c r="A2024" s="19" t="s">
        <v>423</v>
      </c>
    </row>
    <row r="2026" spans="1:2">
      <c r="A2026" s="19" t="s">
        <v>424</v>
      </c>
    </row>
    <row r="2028" spans="1:2">
      <c r="A2028" s="22" t="s">
        <v>407</v>
      </c>
    </row>
    <row r="2030" spans="1:2">
      <c r="A2030" s="22">
        <v>2</v>
      </c>
    </row>
    <row r="2032" spans="1:2">
      <c r="A2032" s="22" t="s">
        <v>1190</v>
      </c>
      <c r="B2032" s="22"/>
    </row>
    <row r="2034" spans="1:2">
      <c r="A2034" s="22" t="s">
        <v>595</v>
      </c>
      <c r="B2034" s="22"/>
    </row>
    <row r="2036" spans="1:2">
      <c r="A2036" s="19" t="s">
        <v>423</v>
      </c>
    </row>
    <row r="2038" spans="1:2">
      <c r="A2038" s="19" t="s">
        <v>424</v>
      </c>
    </row>
    <row r="2040" spans="1:2">
      <c r="A2040" s="22" t="s">
        <v>407</v>
      </c>
    </row>
    <row r="2042" spans="1:2">
      <c r="A2042" s="22">
        <v>6</v>
      </c>
    </row>
    <row r="2044" spans="1:2">
      <c r="A2044" s="22" t="s">
        <v>1191</v>
      </c>
      <c r="B2044" s="22"/>
    </row>
    <row r="2046" spans="1:2">
      <c r="A2046" s="22" t="s">
        <v>1079</v>
      </c>
      <c r="B2046" s="22"/>
    </row>
    <row r="2048" spans="1:2">
      <c r="A2048" s="19" t="s">
        <v>423</v>
      </c>
    </row>
    <row r="2050" spans="1:2">
      <c r="A2050" s="19" t="s">
        <v>424</v>
      </c>
    </row>
    <row r="2052" spans="1:2">
      <c r="A2052" s="22" t="s">
        <v>407</v>
      </c>
    </row>
    <row r="2054" spans="1:2">
      <c r="A2054" s="22">
        <v>2</v>
      </c>
    </row>
    <row r="2056" spans="1:2">
      <c r="A2056" s="22" t="s">
        <v>1192</v>
      </c>
      <c r="B2056" s="22"/>
    </row>
    <row r="2058" spans="1:2">
      <c r="A2058" s="22" t="s">
        <v>464</v>
      </c>
      <c r="B2058" s="22"/>
    </row>
    <row r="2060" spans="1:2">
      <c r="A2060" s="19" t="s">
        <v>423</v>
      </c>
    </row>
    <row r="2062" spans="1:2">
      <c r="A2062" s="19" t="s">
        <v>424</v>
      </c>
    </row>
    <row r="2064" spans="1:2">
      <c r="A2064" s="22" t="s">
        <v>407</v>
      </c>
    </row>
    <row r="2066" spans="1:2">
      <c r="A2066" s="22">
        <v>2</v>
      </c>
    </row>
    <row r="2068" spans="1:2">
      <c r="A2068" s="22" t="s">
        <v>1193</v>
      </c>
      <c r="B2068" s="22"/>
    </row>
    <row r="2070" spans="1:2">
      <c r="A2070" s="22" t="s">
        <v>1194</v>
      </c>
      <c r="B2070" s="22"/>
    </row>
    <row r="2072" spans="1:2">
      <c r="A2072" s="19" t="s">
        <v>423</v>
      </c>
    </row>
    <row r="2074" spans="1:2">
      <c r="A2074" s="19" t="s">
        <v>424</v>
      </c>
    </row>
    <row r="2076" spans="1:2">
      <c r="A2076" s="22" t="s">
        <v>407</v>
      </c>
    </row>
    <row r="2078" spans="1:2">
      <c r="A2078" s="22">
        <v>4</v>
      </c>
    </row>
    <row r="2080" spans="1:2">
      <c r="A2080" s="22" t="s">
        <v>1195</v>
      </c>
      <c r="B2080" s="22"/>
    </row>
    <row r="2082" spans="1:2">
      <c r="A2082" s="22" t="s">
        <v>720</v>
      </c>
      <c r="B2082" s="22"/>
    </row>
    <row r="2084" spans="1:2">
      <c r="A2084" s="19" t="s">
        <v>423</v>
      </c>
    </row>
    <row r="2086" spans="1:2">
      <c r="A2086" s="19" t="s">
        <v>424</v>
      </c>
    </row>
    <row r="2088" spans="1:2">
      <c r="A2088" s="22" t="s">
        <v>407</v>
      </c>
    </row>
    <row r="2090" spans="1:2">
      <c r="A2090" s="22">
        <v>2</v>
      </c>
    </row>
    <row r="2092" spans="1:2">
      <c r="A2092" s="22" t="s">
        <v>1196</v>
      </c>
      <c r="B2092" s="22"/>
    </row>
    <row r="2094" spans="1:2">
      <c r="A2094" s="22" t="s">
        <v>665</v>
      </c>
      <c r="B2094" s="22"/>
    </row>
    <row r="2096" spans="1:2">
      <c r="A2096" s="19" t="s">
        <v>423</v>
      </c>
    </row>
    <row r="2098" spans="1:2">
      <c r="A2098" s="19" t="s">
        <v>424</v>
      </c>
    </row>
    <row r="2100" spans="1:2">
      <c r="A2100" s="22" t="s">
        <v>407</v>
      </c>
    </row>
    <row r="2102" spans="1:2">
      <c r="A2102" s="22">
        <v>3</v>
      </c>
    </row>
    <row r="2104" spans="1:2">
      <c r="A2104" s="19" t="s">
        <v>2131</v>
      </c>
      <c r="B2104" s="19"/>
    </row>
    <row r="2106" spans="1:2">
      <c r="A2106" s="22" t="s">
        <v>133</v>
      </c>
    </row>
    <row r="2107" spans="1:2">
      <c r="A2107" s="22" t="s">
        <v>131</v>
      </c>
      <c r="B2107" s="22"/>
    </row>
    <row r="2108" spans="1:2">
      <c r="A2108" s="22" t="s">
        <v>389</v>
      </c>
      <c r="B2108" s="22"/>
    </row>
    <row r="2110" spans="1:2">
      <c r="A2110" s="19" t="s">
        <v>400</v>
      </c>
      <c r="B2110" s="19"/>
    </row>
    <row r="2112" spans="1:2">
      <c r="A2112" s="19" t="s">
        <v>2110</v>
      </c>
      <c r="B2112" s="19"/>
    </row>
    <row r="2114" spans="1:2">
      <c r="A2114" s="22" t="s">
        <v>1028</v>
      </c>
      <c r="B2114" s="22"/>
    </row>
    <row r="2116" spans="1:2">
      <c r="A2116" s="22" t="s">
        <v>1197</v>
      </c>
      <c r="B2116" s="22"/>
    </row>
    <row r="2118" spans="1:2">
      <c r="A2118" s="22" t="s">
        <v>469</v>
      </c>
      <c r="B2118" s="22"/>
    </row>
    <row r="2120" spans="1:2">
      <c r="A2120" s="19" t="s">
        <v>406</v>
      </c>
    </row>
    <row r="2122" spans="1:2">
      <c r="A2122" s="22" t="s">
        <v>407</v>
      </c>
    </row>
    <row r="2124" spans="1:2">
      <c r="A2124" s="22">
        <v>2</v>
      </c>
    </row>
    <row r="2126" spans="1:2">
      <c r="A2126" s="22" t="s">
        <v>1198</v>
      </c>
      <c r="B2126" s="22"/>
    </row>
    <row r="2128" spans="1:2">
      <c r="A2128" s="22" t="s">
        <v>630</v>
      </c>
      <c r="B2128" s="22"/>
    </row>
    <row r="2130" spans="1:2">
      <c r="A2130" s="19" t="s">
        <v>423</v>
      </c>
    </row>
    <row r="2132" spans="1:2">
      <c r="A2132" s="19" t="s">
        <v>424</v>
      </c>
    </row>
    <row r="2134" spans="1:2">
      <c r="A2134" s="22" t="s">
        <v>407</v>
      </c>
    </row>
    <row r="2136" spans="1:2">
      <c r="A2136" s="22">
        <v>2</v>
      </c>
    </row>
    <row r="2138" spans="1:2">
      <c r="A2138" s="22" t="s">
        <v>1199</v>
      </c>
      <c r="B2138" s="22"/>
    </row>
    <row r="2140" spans="1:2">
      <c r="A2140" s="22" t="s">
        <v>775</v>
      </c>
      <c r="B2140" s="22"/>
    </row>
    <row r="2142" spans="1:2">
      <c r="A2142" s="19" t="s">
        <v>423</v>
      </c>
    </row>
    <row r="2144" spans="1:2">
      <c r="A2144" s="19" t="s">
        <v>424</v>
      </c>
    </row>
    <row r="2146" spans="1:2">
      <c r="A2146" s="22" t="s">
        <v>407</v>
      </c>
    </row>
    <row r="2148" spans="1:2">
      <c r="A2148" s="22">
        <v>2</v>
      </c>
    </row>
    <row r="2150" spans="1:2">
      <c r="A2150" s="22" t="s">
        <v>1200</v>
      </c>
      <c r="B2150" s="22"/>
    </row>
    <row r="2152" spans="1:2">
      <c r="A2152" s="22" t="s">
        <v>881</v>
      </c>
      <c r="B2152" s="22"/>
    </row>
    <row r="2154" spans="1:2">
      <c r="A2154" s="19" t="s">
        <v>423</v>
      </c>
    </row>
    <row r="2156" spans="1:2">
      <c r="A2156" s="19" t="s">
        <v>424</v>
      </c>
    </row>
    <row r="2158" spans="1:2">
      <c r="A2158" s="22" t="s">
        <v>407</v>
      </c>
    </row>
    <row r="2160" spans="1:2">
      <c r="A2160" s="22">
        <v>4</v>
      </c>
    </row>
    <row r="2162" spans="1:2">
      <c r="A2162" s="22" t="s">
        <v>1201</v>
      </c>
      <c r="B2162" s="22"/>
    </row>
    <row r="2164" spans="1:2">
      <c r="A2164" s="22" t="s">
        <v>884</v>
      </c>
      <c r="B2164" s="22"/>
    </row>
    <row r="2166" spans="1:2">
      <c r="A2166" s="19" t="s">
        <v>423</v>
      </c>
    </row>
    <row r="2168" spans="1:2">
      <c r="A2168" s="19" t="s">
        <v>424</v>
      </c>
    </row>
    <row r="2170" spans="1:2">
      <c r="A2170" s="22" t="s">
        <v>407</v>
      </c>
    </row>
    <row r="2172" spans="1:2">
      <c r="A2172" s="22">
        <v>2</v>
      </c>
    </row>
    <row r="2174" spans="1:2">
      <c r="A2174" s="22" t="s">
        <v>1202</v>
      </c>
      <c r="B2174" s="22"/>
    </row>
    <row r="2176" spans="1:2">
      <c r="A2176" s="22" t="s">
        <v>436</v>
      </c>
      <c r="B2176" s="22"/>
    </row>
    <row r="2178" spans="1:2">
      <c r="A2178" s="19" t="s">
        <v>423</v>
      </c>
    </row>
    <row r="2180" spans="1:2">
      <c r="A2180" s="19" t="s">
        <v>424</v>
      </c>
    </row>
    <row r="2182" spans="1:2">
      <c r="A2182" s="22" t="s">
        <v>407</v>
      </c>
    </row>
    <row r="2184" spans="1:2">
      <c r="A2184" s="22">
        <v>3</v>
      </c>
    </row>
    <row r="2186" spans="1:2">
      <c r="A2186" s="22" t="s">
        <v>1203</v>
      </c>
      <c r="B2186" s="22"/>
    </row>
    <row r="2188" spans="1:2">
      <c r="A2188" s="22" t="s">
        <v>492</v>
      </c>
      <c r="B2188" s="22"/>
    </row>
    <row r="2190" spans="1:2">
      <c r="A2190" s="19" t="s">
        <v>423</v>
      </c>
    </row>
    <row r="2192" spans="1:2">
      <c r="A2192" s="19" t="s">
        <v>424</v>
      </c>
    </row>
    <row r="2194" spans="1:2">
      <c r="A2194" s="22" t="s">
        <v>407</v>
      </c>
    </row>
    <row r="2196" spans="1:2">
      <c r="A2196" s="22">
        <v>2</v>
      </c>
    </row>
    <row r="2198" spans="1:2">
      <c r="A2198" s="22" t="s">
        <v>1204</v>
      </c>
      <c r="B2198" s="22"/>
    </row>
    <row r="2200" spans="1:2">
      <c r="A2200" s="22" t="s">
        <v>510</v>
      </c>
      <c r="B2200" s="22"/>
    </row>
    <row r="2202" spans="1:2">
      <c r="A2202" s="19" t="s">
        <v>423</v>
      </c>
    </row>
    <row r="2204" spans="1:2">
      <c r="A2204" s="19" t="s">
        <v>424</v>
      </c>
    </row>
    <row r="2206" spans="1:2">
      <c r="A2206" s="22" t="s">
        <v>407</v>
      </c>
    </row>
    <row r="2208" spans="1:2">
      <c r="A2208" s="22">
        <v>2</v>
      </c>
    </row>
    <row r="2210" spans="1:2">
      <c r="A2210" s="19" t="s">
        <v>2132</v>
      </c>
      <c r="B2210" s="19"/>
    </row>
    <row r="2212" spans="1:2">
      <c r="A2212" s="22" t="s">
        <v>133</v>
      </c>
    </row>
    <row r="2213" spans="1:2">
      <c r="A2213" s="22" t="s">
        <v>131</v>
      </c>
      <c r="B2213" s="22"/>
    </row>
    <row r="2214" spans="1:2">
      <c r="A2214" s="22" t="s">
        <v>389</v>
      </c>
      <c r="B2214" s="22"/>
    </row>
    <row r="2216" spans="1:2">
      <c r="A2216" s="19" t="s">
        <v>400</v>
      </c>
      <c r="B2216" s="19"/>
    </row>
    <row r="2218" spans="1:2">
      <c r="A2218" s="19" t="s">
        <v>2110</v>
      </c>
      <c r="B2218" s="19"/>
    </row>
    <row r="2220" spans="1:2">
      <c r="A2220" s="22" t="s">
        <v>1028</v>
      </c>
      <c r="B2220" s="22"/>
    </row>
    <row r="2222" spans="1:2">
      <c r="A2222" s="22" t="s">
        <v>1205</v>
      </c>
      <c r="B2222" s="22"/>
    </row>
    <row r="2224" spans="1:2">
      <c r="A2224" s="22" t="s">
        <v>448</v>
      </c>
      <c r="B2224" s="22"/>
    </row>
    <row r="2226" spans="1:2">
      <c r="A2226" s="19" t="s">
        <v>406</v>
      </c>
    </row>
    <row r="2228" spans="1:2">
      <c r="A2228" s="22" t="s">
        <v>407</v>
      </c>
    </row>
    <row r="2230" spans="1:2">
      <c r="A2230" s="22">
        <v>3</v>
      </c>
    </row>
    <row r="2232" spans="1:2">
      <c r="A2232" s="22" t="s">
        <v>1206</v>
      </c>
      <c r="B2232" s="22"/>
    </row>
    <row r="2234" spans="1:2">
      <c r="A2234" s="22" t="s">
        <v>460</v>
      </c>
      <c r="B2234" s="22"/>
    </row>
    <row r="2236" spans="1:2">
      <c r="A2236" s="19" t="s">
        <v>423</v>
      </c>
    </row>
    <row r="2238" spans="1:2">
      <c r="A2238" s="19" t="s">
        <v>424</v>
      </c>
    </row>
    <row r="2240" spans="1:2">
      <c r="A2240" s="22" t="s">
        <v>407</v>
      </c>
    </row>
    <row r="2242" spans="1:2">
      <c r="A2242" s="22">
        <v>8</v>
      </c>
    </row>
    <row r="2244" spans="1:2">
      <c r="A2244" s="22" t="s">
        <v>1207</v>
      </c>
      <c r="B2244" s="22"/>
    </row>
    <row r="2246" spans="1:2">
      <c r="A2246" s="22" t="s">
        <v>510</v>
      </c>
      <c r="B2246" s="22"/>
    </row>
    <row r="2248" spans="1:2">
      <c r="A2248" s="19" t="s">
        <v>423</v>
      </c>
    </row>
    <row r="2250" spans="1:2">
      <c r="A2250" s="19" t="s">
        <v>424</v>
      </c>
    </row>
    <row r="2252" spans="1:2">
      <c r="A2252" s="22" t="s">
        <v>407</v>
      </c>
    </row>
    <row r="2254" spans="1:2">
      <c r="A2254" s="22">
        <v>2</v>
      </c>
    </row>
    <row r="2256" spans="1:2">
      <c r="A2256" s="22" t="s">
        <v>1208</v>
      </c>
      <c r="B2256" s="22"/>
    </row>
    <row r="2258" spans="1:2">
      <c r="A2258" s="22" t="s">
        <v>481</v>
      </c>
      <c r="B2258" s="22"/>
    </row>
    <row r="2260" spans="1:2">
      <c r="A2260" s="19" t="s">
        <v>423</v>
      </c>
    </row>
    <row r="2262" spans="1:2">
      <c r="A2262" s="19" t="s">
        <v>424</v>
      </c>
    </row>
    <row r="2264" spans="1:2">
      <c r="A2264" s="22" t="s">
        <v>407</v>
      </c>
    </row>
    <row r="2266" spans="1:2">
      <c r="A2266" s="22">
        <v>2</v>
      </c>
    </row>
    <row r="2268" spans="1:2">
      <c r="A2268" s="22" t="s">
        <v>1209</v>
      </c>
      <c r="B2268" s="22"/>
    </row>
    <row r="2270" spans="1:2">
      <c r="A2270" s="22" t="s">
        <v>1079</v>
      </c>
      <c r="B2270" s="22"/>
    </row>
    <row r="2272" spans="1:2">
      <c r="A2272" s="19" t="s">
        <v>423</v>
      </c>
    </row>
    <row r="2274" spans="1:2">
      <c r="A2274" s="19" t="s">
        <v>424</v>
      </c>
    </row>
    <row r="2276" spans="1:2">
      <c r="A2276" s="22" t="s">
        <v>407</v>
      </c>
    </row>
    <row r="2278" spans="1:2">
      <c r="A2278" s="22">
        <v>2</v>
      </c>
    </row>
    <row r="2280" spans="1:2">
      <c r="A2280" s="22" t="s">
        <v>1210</v>
      </c>
      <c r="B2280" s="22"/>
    </row>
    <row r="2282" spans="1:2">
      <c r="A2282" s="22" t="s">
        <v>667</v>
      </c>
      <c r="B2282" s="22"/>
    </row>
    <row r="2284" spans="1:2">
      <c r="A2284" s="19" t="s">
        <v>423</v>
      </c>
    </row>
    <row r="2286" spans="1:2">
      <c r="A2286" s="19" t="s">
        <v>424</v>
      </c>
    </row>
    <row r="2288" spans="1:2">
      <c r="A2288" s="22" t="s">
        <v>407</v>
      </c>
    </row>
    <row r="2290" spans="1:2">
      <c r="A2290" s="22">
        <v>2</v>
      </c>
    </row>
    <row r="2292" spans="1:2">
      <c r="A2292" s="22" t="s">
        <v>1211</v>
      </c>
      <c r="B2292" s="22"/>
    </row>
    <row r="2294" spans="1:2">
      <c r="A2294" s="22" t="s">
        <v>458</v>
      </c>
      <c r="B2294" s="22"/>
    </row>
    <row r="2296" spans="1:2">
      <c r="A2296" s="19" t="s">
        <v>423</v>
      </c>
    </row>
    <row r="2298" spans="1:2">
      <c r="A2298" s="19" t="s">
        <v>424</v>
      </c>
    </row>
    <row r="2300" spans="1:2">
      <c r="A2300" s="22" t="s">
        <v>407</v>
      </c>
    </row>
    <row r="2302" spans="1:2">
      <c r="A2302" s="22">
        <v>4</v>
      </c>
    </row>
    <row r="2304" spans="1:2">
      <c r="A2304" s="22" t="s">
        <v>1212</v>
      </c>
      <c r="B2304" s="22"/>
    </row>
    <row r="2306" spans="1:2">
      <c r="A2306" s="22" t="s">
        <v>650</v>
      </c>
      <c r="B2306" s="22"/>
    </row>
    <row r="2308" spans="1:2">
      <c r="A2308" s="19" t="s">
        <v>423</v>
      </c>
    </row>
    <row r="2310" spans="1:2">
      <c r="A2310" s="19" t="s">
        <v>424</v>
      </c>
    </row>
    <row r="2312" spans="1:2">
      <c r="A2312" s="22" t="s">
        <v>407</v>
      </c>
    </row>
    <row r="2314" spans="1:2">
      <c r="A2314" s="22">
        <v>6</v>
      </c>
    </row>
    <row r="2316" spans="1:2">
      <c r="A2316" s="19" t="s">
        <v>2133</v>
      </c>
      <c r="B2316" s="19"/>
    </row>
    <row r="2318" spans="1:2">
      <c r="A2318" s="22" t="s">
        <v>133</v>
      </c>
    </row>
    <row r="2319" spans="1:2">
      <c r="A2319" s="22" t="s">
        <v>131</v>
      </c>
      <c r="B2319" s="22"/>
    </row>
    <row r="2320" spans="1:2">
      <c r="A2320" s="22" t="s">
        <v>389</v>
      </c>
      <c r="B2320" s="22"/>
    </row>
    <row r="2322" spans="1:2">
      <c r="A2322" s="19" t="s">
        <v>400</v>
      </c>
      <c r="B2322" s="19"/>
    </row>
    <row r="2324" spans="1:2">
      <c r="A2324" s="19" t="s">
        <v>2110</v>
      </c>
      <c r="B2324" s="19"/>
    </row>
    <row r="2326" spans="1:2">
      <c r="A2326" s="22" t="s">
        <v>1028</v>
      </c>
      <c r="B2326" s="22"/>
    </row>
    <row r="2328" spans="1:2">
      <c r="A2328" s="22" t="s">
        <v>1213</v>
      </c>
      <c r="B2328" s="22"/>
    </row>
    <row r="2330" spans="1:2">
      <c r="A2330" s="22" t="s">
        <v>643</v>
      </c>
      <c r="B2330" s="22"/>
    </row>
    <row r="2332" spans="1:2">
      <c r="A2332" s="19" t="s">
        <v>406</v>
      </c>
    </row>
    <row r="2334" spans="1:2">
      <c r="A2334" s="22" t="s">
        <v>407</v>
      </c>
    </row>
    <row r="2336" spans="1:2">
      <c r="A2336" s="22">
        <v>3</v>
      </c>
    </row>
    <row r="2338" spans="1:2">
      <c r="A2338" s="22" t="s">
        <v>1214</v>
      </c>
      <c r="B2338" s="22"/>
    </row>
    <row r="2340" spans="1:2">
      <c r="A2340" s="22" t="s">
        <v>643</v>
      </c>
      <c r="B2340" s="22"/>
    </row>
    <row r="2342" spans="1:2">
      <c r="A2342" s="19" t="s">
        <v>423</v>
      </c>
    </row>
    <row r="2344" spans="1:2">
      <c r="A2344" s="19" t="s">
        <v>424</v>
      </c>
    </row>
    <row r="2346" spans="1:2">
      <c r="A2346" s="22" t="s">
        <v>407</v>
      </c>
    </row>
    <row r="2348" spans="1:2">
      <c r="A2348" s="22">
        <v>3</v>
      </c>
    </row>
    <row r="2350" spans="1:2">
      <c r="A2350" s="22" t="s">
        <v>1215</v>
      </c>
      <c r="B2350" s="22"/>
    </row>
    <row r="2352" spans="1:2">
      <c r="A2352" s="22" t="s">
        <v>1216</v>
      </c>
      <c r="B2352" s="22"/>
    </row>
    <row r="2354" spans="1:2">
      <c r="A2354" s="19" t="s">
        <v>423</v>
      </c>
    </row>
    <row r="2356" spans="1:2">
      <c r="A2356" s="19" t="s">
        <v>424</v>
      </c>
    </row>
    <row r="2358" spans="1:2">
      <c r="A2358" s="22" t="s">
        <v>407</v>
      </c>
    </row>
    <row r="2360" spans="1:2">
      <c r="A2360" s="22">
        <v>4</v>
      </c>
    </row>
    <row r="2362" spans="1:2">
      <c r="A2362" s="22" t="s">
        <v>1217</v>
      </c>
      <c r="B2362" s="22"/>
    </row>
    <row r="2364" spans="1:2">
      <c r="A2364" s="22" t="s">
        <v>1090</v>
      </c>
      <c r="B2364" s="22"/>
    </row>
    <row r="2366" spans="1:2">
      <c r="A2366" s="19" t="s">
        <v>423</v>
      </c>
    </row>
    <row r="2368" spans="1:2">
      <c r="A2368" s="19" t="s">
        <v>424</v>
      </c>
    </row>
    <row r="2370" spans="1:2">
      <c r="A2370" s="22" t="s">
        <v>407</v>
      </c>
    </row>
    <row r="2372" spans="1:2">
      <c r="A2372" s="22">
        <v>3</v>
      </c>
    </row>
    <row r="2374" spans="1:2">
      <c r="A2374" s="22" t="s">
        <v>1218</v>
      </c>
      <c r="B2374" s="22"/>
    </row>
    <row r="2376" spans="1:2">
      <c r="A2376" s="22" t="s">
        <v>523</v>
      </c>
      <c r="B2376" s="22"/>
    </row>
    <row r="2378" spans="1:2">
      <c r="A2378" s="19" t="s">
        <v>423</v>
      </c>
    </row>
    <row r="2380" spans="1:2">
      <c r="A2380" s="19" t="s">
        <v>424</v>
      </c>
    </row>
    <row r="2382" spans="1:2">
      <c r="A2382" s="22" t="s">
        <v>407</v>
      </c>
    </row>
    <row r="2384" spans="1:2">
      <c r="A2384" s="22">
        <v>3</v>
      </c>
    </row>
    <row r="2386" spans="1:2">
      <c r="A2386" s="22" t="s">
        <v>1219</v>
      </c>
      <c r="B2386" s="22"/>
    </row>
    <row r="2388" spans="1:2">
      <c r="A2388" s="22" t="s">
        <v>448</v>
      </c>
      <c r="B2388" s="22"/>
    </row>
    <row r="2390" spans="1:2">
      <c r="A2390" s="19" t="s">
        <v>423</v>
      </c>
    </row>
    <row r="2392" spans="1:2">
      <c r="A2392" s="19" t="s">
        <v>424</v>
      </c>
    </row>
    <row r="2394" spans="1:2">
      <c r="A2394" s="22" t="s">
        <v>407</v>
      </c>
    </row>
    <row r="2396" spans="1:2">
      <c r="A2396" s="22">
        <v>3</v>
      </c>
    </row>
    <row r="2398" spans="1:2">
      <c r="A2398" s="22" t="s">
        <v>1220</v>
      </c>
      <c r="B2398" s="22"/>
    </row>
    <row r="2400" spans="1:2">
      <c r="A2400" s="22" t="s">
        <v>1221</v>
      </c>
      <c r="B2400" s="22"/>
    </row>
    <row r="2402" spans="1:2">
      <c r="A2402" s="19" t="s">
        <v>423</v>
      </c>
    </row>
    <row r="2404" spans="1:2">
      <c r="A2404" s="19" t="s">
        <v>424</v>
      </c>
    </row>
    <row r="2406" spans="1:2">
      <c r="A2406" s="22" t="s">
        <v>407</v>
      </c>
    </row>
    <row r="2408" spans="1:2">
      <c r="A2408" s="22">
        <v>4</v>
      </c>
    </row>
    <row r="2410" spans="1:2">
      <c r="A2410" s="22" t="s">
        <v>1222</v>
      </c>
      <c r="B2410" s="22"/>
    </row>
    <row r="2412" spans="1:2">
      <c r="A2412" s="22" t="s">
        <v>552</v>
      </c>
      <c r="B2412" s="22"/>
    </row>
    <row r="2414" spans="1:2">
      <c r="A2414" s="19" t="s">
        <v>423</v>
      </c>
    </row>
    <row r="2416" spans="1:2">
      <c r="A2416" s="19" t="s">
        <v>424</v>
      </c>
    </row>
    <row r="2418" spans="1:2">
      <c r="A2418" s="22" t="s">
        <v>407</v>
      </c>
    </row>
    <row r="2420" spans="1:2">
      <c r="A2420" s="22">
        <v>3</v>
      </c>
    </row>
    <row r="2422" spans="1:2">
      <c r="A2422" s="19" t="s">
        <v>2134</v>
      </c>
      <c r="B2422" s="19"/>
    </row>
    <row r="2424" spans="1:2">
      <c r="A2424" s="22" t="s">
        <v>133</v>
      </c>
    </row>
    <row r="2425" spans="1:2">
      <c r="A2425" s="22" t="s">
        <v>131</v>
      </c>
      <c r="B2425" s="22"/>
    </row>
    <row r="2426" spans="1:2">
      <c r="A2426" s="22" t="s">
        <v>389</v>
      </c>
      <c r="B2426" s="22"/>
    </row>
    <row r="2428" spans="1:2">
      <c r="A2428" s="19" t="s">
        <v>400</v>
      </c>
      <c r="B2428" s="19"/>
    </row>
    <row r="2430" spans="1:2">
      <c r="A2430" s="19" t="s">
        <v>2110</v>
      </c>
      <c r="B2430" s="19"/>
    </row>
    <row r="2432" spans="1:2">
      <c r="A2432" s="22" t="s">
        <v>1028</v>
      </c>
      <c r="B2432" s="22"/>
    </row>
    <row r="2434" spans="1:2">
      <c r="A2434" s="22" t="s">
        <v>1223</v>
      </c>
      <c r="B2434" s="22"/>
    </row>
    <row r="2436" spans="1:2">
      <c r="A2436" s="22" t="s">
        <v>906</v>
      </c>
      <c r="B2436" s="22"/>
    </row>
    <row r="2438" spans="1:2">
      <c r="A2438" s="19" t="s">
        <v>406</v>
      </c>
    </row>
    <row r="2440" spans="1:2">
      <c r="A2440" s="22" t="s">
        <v>407</v>
      </c>
    </row>
    <row r="2442" spans="1:2">
      <c r="A2442" s="22">
        <v>3</v>
      </c>
    </row>
    <row r="2444" spans="1:2">
      <c r="A2444" s="22" t="s">
        <v>1224</v>
      </c>
      <c r="B2444" s="22"/>
    </row>
    <row r="2446" spans="1:2">
      <c r="A2446" s="22" t="s">
        <v>906</v>
      </c>
      <c r="B2446" s="22"/>
    </row>
    <row r="2448" spans="1:2">
      <c r="A2448" s="19" t="s">
        <v>423</v>
      </c>
    </row>
    <row r="2450" spans="1:2">
      <c r="A2450" s="19" t="s">
        <v>424</v>
      </c>
    </row>
    <row r="2452" spans="1:2">
      <c r="A2452" s="22" t="s">
        <v>407</v>
      </c>
    </row>
    <row r="2454" spans="1:2">
      <c r="A2454" s="22">
        <v>3</v>
      </c>
    </row>
    <row r="2456" spans="1:2">
      <c r="A2456" s="22" t="s">
        <v>1225</v>
      </c>
      <c r="B2456" s="22"/>
    </row>
    <row r="2458" spans="1:2">
      <c r="A2458" s="22" t="s">
        <v>560</v>
      </c>
      <c r="B2458" s="22"/>
    </row>
    <row r="2460" spans="1:2">
      <c r="A2460" s="19" t="s">
        <v>423</v>
      </c>
    </row>
    <row r="2462" spans="1:2">
      <c r="A2462" s="19" t="s">
        <v>424</v>
      </c>
    </row>
    <row r="2464" spans="1:2">
      <c r="A2464" s="22" t="s">
        <v>407</v>
      </c>
    </row>
    <row r="2466" spans="1:2">
      <c r="A2466" s="22">
        <v>3</v>
      </c>
    </row>
    <row r="2468" spans="1:2">
      <c r="A2468" s="22" t="s">
        <v>1226</v>
      </c>
      <c r="B2468" s="22"/>
    </row>
    <row r="2470" spans="1:2">
      <c r="A2470" s="22" t="s">
        <v>564</v>
      </c>
      <c r="B2470" s="22"/>
    </row>
    <row r="2472" spans="1:2">
      <c r="A2472" s="19" t="s">
        <v>423</v>
      </c>
    </row>
    <row r="2474" spans="1:2">
      <c r="A2474" s="19" t="s">
        <v>424</v>
      </c>
    </row>
    <row r="2476" spans="1:2">
      <c r="A2476" s="22" t="s">
        <v>407</v>
      </c>
    </row>
    <row r="2478" spans="1:2">
      <c r="A2478" s="22">
        <v>6</v>
      </c>
    </row>
    <row r="2480" spans="1:2">
      <c r="A2480" s="22" t="s">
        <v>1227</v>
      </c>
      <c r="B2480" s="22"/>
    </row>
    <row r="2482" spans="1:2">
      <c r="A2482" s="22" t="s">
        <v>1228</v>
      </c>
      <c r="B2482" s="22"/>
    </row>
    <row r="2484" spans="1:2">
      <c r="A2484" s="19" t="s">
        <v>423</v>
      </c>
    </row>
    <row r="2486" spans="1:2">
      <c r="A2486" s="19" t="s">
        <v>424</v>
      </c>
    </row>
    <row r="2488" spans="1:2">
      <c r="A2488" s="22" t="s">
        <v>407</v>
      </c>
    </row>
    <row r="2490" spans="1:2">
      <c r="A2490" s="22">
        <v>4</v>
      </c>
    </row>
    <row r="2492" spans="1:2">
      <c r="A2492" s="22" t="s">
        <v>1229</v>
      </c>
      <c r="B2492" s="22"/>
    </row>
    <row r="2494" spans="1:2">
      <c r="A2494" s="22" t="s">
        <v>659</v>
      </c>
      <c r="B2494" s="22"/>
    </row>
    <row r="2496" spans="1:2">
      <c r="A2496" s="19" t="s">
        <v>423</v>
      </c>
    </row>
    <row r="2498" spans="1:2">
      <c r="A2498" s="19" t="s">
        <v>424</v>
      </c>
    </row>
    <row r="2500" spans="1:2">
      <c r="A2500" s="22" t="s">
        <v>407</v>
      </c>
    </row>
    <row r="2502" spans="1:2">
      <c r="A2502" s="22">
        <v>8</v>
      </c>
    </row>
    <row r="2504" spans="1:2">
      <c r="A2504" s="22" t="s">
        <v>1230</v>
      </c>
      <c r="B2504" s="22"/>
    </row>
    <row r="2506" spans="1:2">
      <c r="A2506" s="22" t="s">
        <v>441</v>
      </c>
      <c r="B2506" s="22"/>
    </row>
    <row r="2508" spans="1:2">
      <c r="A2508" s="19" t="s">
        <v>423</v>
      </c>
    </row>
    <row r="2510" spans="1:2">
      <c r="A2510" s="19" t="s">
        <v>424</v>
      </c>
    </row>
    <row r="2512" spans="1:2">
      <c r="A2512" s="22" t="s">
        <v>407</v>
      </c>
    </row>
    <row r="2514" spans="1:2">
      <c r="A2514" s="22">
        <v>2</v>
      </c>
    </row>
    <row r="2516" spans="1:2">
      <c r="A2516" s="22" t="s">
        <v>1231</v>
      </c>
      <c r="B2516" s="22"/>
    </row>
    <row r="2518" spans="1:2">
      <c r="A2518" s="22" t="s">
        <v>418</v>
      </c>
      <c r="B2518" s="22"/>
    </row>
    <row r="2520" spans="1:2">
      <c r="A2520" s="19" t="s">
        <v>423</v>
      </c>
    </row>
    <row r="2522" spans="1:2">
      <c r="A2522" s="19" t="s">
        <v>424</v>
      </c>
    </row>
    <row r="2524" spans="1:2">
      <c r="A2524" s="22" t="s">
        <v>407</v>
      </c>
    </row>
    <row r="2526" spans="1:2">
      <c r="A2526" s="22">
        <v>1</v>
      </c>
    </row>
    <row r="2528" spans="1:2">
      <c r="A2528" s="19" t="s">
        <v>2135</v>
      </c>
      <c r="B2528" s="19"/>
    </row>
    <row r="2530" spans="1:2">
      <c r="A2530" s="22" t="s">
        <v>133</v>
      </c>
    </row>
    <row r="2531" spans="1:2">
      <c r="A2531" s="22" t="s">
        <v>131</v>
      </c>
      <c r="B2531" s="22"/>
    </row>
    <row r="2532" spans="1:2">
      <c r="A2532" s="22" t="s">
        <v>389</v>
      </c>
      <c r="B2532" s="22"/>
    </row>
    <row r="2534" spans="1:2">
      <c r="A2534" s="19" t="s">
        <v>400</v>
      </c>
      <c r="B2534" s="19"/>
    </row>
    <row r="2536" spans="1:2">
      <c r="A2536" s="19" t="s">
        <v>2110</v>
      </c>
      <c r="B2536" s="19"/>
    </row>
    <row r="2538" spans="1:2">
      <c r="A2538" s="22" t="s">
        <v>1028</v>
      </c>
      <c r="B2538" s="22"/>
    </row>
    <row r="2540" spans="1:2">
      <c r="A2540" s="22" t="s">
        <v>1232</v>
      </c>
      <c r="B2540" s="22"/>
    </row>
    <row r="2542" spans="1:2">
      <c r="A2542" s="22" t="s">
        <v>432</v>
      </c>
      <c r="B2542" s="22"/>
    </row>
    <row r="2544" spans="1:2">
      <c r="A2544" s="19" t="s">
        <v>406</v>
      </c>
    </row>
    <row r="2546" spans="1:2">
      <c r="A2546" s="22" t="s">
        <v>407</v>
      </c>
    </row>
    <row r="2548" spans="1:2">
      <c r="A2548" s="22">
        <v>1</v>
      </c>
    </row>
    <row r="2550" spans="1:2">
      <c r="A2550" s="22" t="s">
        <v>1233</v>
      </c>
      <c r="B2550" s="22"/>
    </row>
    <row r="2552" spans="1:2">
      <c r="A2552" s="22" t="s">
        <v>1234</v>
      </c>
      <c r="B2552" s="22"/>
    </row>
    <row r="2554" spans="1:2">
      <c r="A2554" s="19" t="s">
        <v>423</v>
      </c>
    </row>
    <row r="2556" spans="1:2">
      <c r="A2556" s="19" t="s">
        <v>424</v>
      </c>
    </row>
    <row r="2558" spans="1:2">
      <c r="A2558" s="22" t="s">
        <v>407</v>
      </c>
    </row>
    <row r="2560" spans="1:2">
      <c r="A2560" s="22">
        <v>18</v>
      </c>
    </row>
    <row r="2562" spans="1:2">
      <c r="A2562" s="22" t="s">
        <v>1235</v>
      </c>
      <c r="B2562" s="22"/>
    </row>
    <row r="2564" spans="1:2">
      <c r="A2564" s="22" t="s">
        <v>422</v>
      </c>
      <c r="B2564" s="22"/>
    </row>
    <row r="2566" spans="1:2">
      <c r="A2566" s="19" t="s">
        <v>423</v>
      </c>
    </row>
    <row r="2568" spans="1:2">
      <c r="A2568" s="19" t="s">
        <v>424</v>
      </c>
    </row>
    <row r="2570" spans="1:2">
      <c r="A2570" s="22" t="s">
        <v>407</v>
      </c>
    </row>
    <row r="2572" spans="1:2">
      <c r="A2572" s="22">
        <v>1</v>
      </c>
    </row>
    <row r="2574" spans="1:2">
      <c r="A2574" s="22" t="s">
        <v>1236</v>
      </c>
      <c r="B2574" s="22"/>
    </row>
    <row r="2576" spans="1:2">
      <c r="A2576" s="22" t="s">
        <v>441</v>
      </c>
      <c r="B2576" s="22"/>
    </row>
    <row r="2578" spans="1:2">
      <c r="A2578" s="19" t="s">
        <v>423</v>
      </c>
    </row>
    <row r="2580" spans="1:2">
      <c r="A2580" s="19" t="s">
        <v>424</v>
      </c>
    </row>
    <row r="2582" spans="1:2">
      <c r="A2582" s="22" t="s">
        <v>407</v>
      </c>
    </row>
    <row r="2584" spans="1:2">
      <c r="A2584" s="22">
        <v>2</v>
      </c>
    </row>
    <row r="2586" spans="1:2">
      <c r="A2586" s="22" t="s">
        <v>1237</v>
      </c>
      <c r="B2586" s="22"/>
    </row>
    <row r="2588" spans="1:2">
      <c r="A2588" s="22" t="s">
        <v>430</v>
      </c>
      <c r="B2588" s="22"/>
    </row>
    <row r="2590" spans="1:2">
      <c r="A2590" s="19" t="s">
        <v>423</v>
      </c>
    </row>
    <row r="2592" spans="1:2">
      <c r="A2592" s="19" t="s">
        <v>424</v>
      </c>
    </row>
    <row r="2594" spans="1:2">
      <c r="A2594" s="22" t="s">
        <v>407</v>
      </c>
    </row>
    <row r="2596" spans="1:2">
      <c r="A2596" s="22">
        <v>1</v>
      </c>
    </row>
    <row r="2598" spans="1:2">
      <c r="A2598" s="22" t="s">
        <v>1238</v>
      </c>
      <c r="B2598" s="22"/>
    </row>
    <row r="2600" spans="1:2">
      <c r="A2600" s="22" t="s">
        <v>650</v>
      </c>
      <c r="B2600" s="22"/>
    </row>
    <row r="2602" spans="1:2">
      <c r="A2602" s="19" t="s">
        <v>423</v>
      </c>
    </row>
    <row r="2604" spans="1:2">
      <c r="A2604" s="19" t="s">
        <v>424</v>
      </c>
    </row>
    <row r="2606" spans="1:2">
      <c r="A2606" s="22" t="s">
        <v>407</v>
      </c>
    </row>
    <row r="2608" spans="1:2">
      <c r="A2608" s="22">
        <v>10</v>
      </c>
    </row>
    <row r="2610" spans="1:2">
      <c r="A2610" s="22" t="s">
        <v>1239</v>
      </c>
      <c r="B2610" s="22"/>
    </row>
    <row r="2612" spans="1:2">
      <c r="A2612" s="22" t="s">
        <v>601</v>
      </c>
      <c r="B2612" s="22"/>
    </row>
    <row r="2614" spans="1:2">
      <c r="A2614" s="19" t="s">
        <v>423</v>
      </c>
    </row>
    <row r="2616" spans="1:2">
      <c r="A2616" s="19" t="s">
        <v>424</v>
      </c>
    </row>
    <row r="2618" spans="1:2">
      <c r="A2618" s="22" t="s">
        <v>407</v>
      </c>
    </row>
    <row r="2620" spans="1:2">
      <c r="A2620" s="22">
        <v>2</v>
      </c>
    </row>
    <row r="2622" spans="1:2">
      <c r="A2622" s="22" t="s">
        <v>1240</v>
      </c>
      <c r="B2622" s="22"/>
    </row>
    <row r="2624" spans="1:2">
      <c r="A2624" s="22" t="s">
        <v>738</v>
      </c>
      <c r="B2624" s="22"/>
    </row>
    <row r="2626" spans="1:2">
      <c r="A2626" s="19" t="s">
        <v>423</v>
      </c>
    </row>
    <row r="2628" spans="1:2">
      <c r="A2628" s="19" t="s">
        <v>424</v>
      </c>
    </row>
    <row r="2630" spans="1:2">
      <c r="A2630" s="22" t="s">
        <v>407</v>
      </c>
    </row>
    <row r="2632" spans="1:2">
      <c r="A2632" s="22">
        <v>2</v>
      </c>
    </row>
    <row r="2634" spans="1:2">
      <c r="A2634" s="19" t="s">
        <v>2136</v>
      </c>
      <c r="B2634" s="19"/>
    </row>
    <row r="2636" spans="1:2">
      <c r="A2636" s="22" t="s">
        <v>133</v>
      </c>
    </row>
    <row r="2637" spans="1:2">
      <c r="A2637" s="22" t="s">
        <v>131</v>
      </c>
      <c r="B2637" s="22"/>
    </row>
    <row r="2638" spans="1:2">
      <c r="A2638" s="22" t="s">
        <v>389</v>
      </c>
      <c r="B2638" s="22"/>
    </row>
    <row r="2640" spans="1:2">
      <c r="A2640" s="19" t="s">
        <v>400</v>
      </c>
      <c r="B2640" s="19"/>
    </row>
    <row r="2642" spans="1:2">
      <c r="A2642" s="19" t="s">
        <v>2110</v>
      </c>
      <c r="B2642" s="19"/>
    </row>
    <row r="2644" spans="1:2">
      <c r="A2644" s="22" t="s">
        <v>1028</v>
      </c>
      <c r="B2644" s="22"/>
    </row>
    <row r="2646" spans="1:2">
      <c r="A2646" s="22" t="s">
        <v>1241</v>
      </c>
      <c r="B2646" s="22"/>
    </row>
    <row r="2648" spans="1:2">
      <c r="A2648" s="22" t="s">
        <v>422</v>
      </c>
      <c r="B2648" s="22"/>
    </row>
    <row r="2650" spans="1:2">
      <c r="A2650" s="19" t="s">
        <v>406</v>
      </c>
    </row>
    <row r="2652" spans="1:2">
      <c r="A2652" s="22" t="s">
        <v>407</v>
      </c>
    </row>
    <row r="2654" spans="1:2">
      <c r="A2654" s="22">
        <v>2</v>
      </c>
    </row>
    <row r="2656" spans="1:2">
      <c r="A2656" s="22" t="s">
        <v>1242</v>
      </c>
      <c r="B2656" s="22"/>
    </row>
    <row r="2658" spans="1:2">
      <c r="A2658" s="22" t="s">
        <v>438</v>
      </c>
      <c r="B2658" s="22"/>
    </row>
    <row r="2660" spans="1:2">
      <c r="A2660" s="19" t="s">
        <v>423</v>
      </c>
    </row>
    <row r="2662" spans="1:2">
      <c r="A2662" s="19" t="s">
        <v>424</v>
      </c>
    </row>
    <row r="2664" spans="1:2">
      <c r="A2664" s="22" t="s">
        <v>407</v>
      </c>
    </row>
    <row r="2666" spans="1:2">
      <c r="A2666" s="22">
        <v>2</v>
      </c>
    </row>
    <row r="2668" spans="1:2">
      <c r="A2668" s="22" t="s">
        <v>1243</v>
      </c>
      <c r="B2668" s="22"/>
    </row>
    <row r="2670" spans="1:2">
      <c r="A2670" s="22" t="s">
        <v>438</v>
      </c>
      <c r="B2670" s="22"/>
    </row>
    <row r="2672" spans="1:2">
      <c r="A2672" s="19" t="s">
        <v>423</v>
      </c>
    </row>
    <row r="2674" spans="1:2">
      <c r="A2674" s="19" t="s">
        <v>424</v>
      </c>
    </row>
    <row r="2676" spans="1:2">
      <c r="A2676" s="22" t="s">
        <v>407</v>
      </c>
    </row>
    <row r="2678" spans="1:2">
      <c r="A2678" s="22">
        <v>2</v>
      </c>
    </row>
    <row r="2680" spans="1:2">
      <c r="A2680" s="22" t="s">
        <v>1244</v>
      </c>
      <c r="B2680" s="22"/>
    </row>
    <row r="2682" spans="1:2">
      <c r="A2682" s="22" t="s">
        <v>422</v>
      </c>
      <c r="B2682" s="22"/>
    </row>
    <row r="2684" spans="1:2">
      <c r="A2684" s="19" t="s">
        <v>423</v>
      </c>
    </row>
    <row r="2686" spans="1:2">
      <c r="A2686" s="19" t="s">
        <v>424</v>
      </c>
    </row>
    <row r="2688" spans="1:2">
      <c r="A2688" s="22" t="s">
        <v>407</v>
      </c>
    </row>
    <row r="2690" spans="1:2">
      <c r="A2690" s="22">
        <v>2</v>
      </c>
    </row>
    <row r="2692" spans="1:2">
      <c r="A2692" s="22" t="s">
        <v>1245</v>
      </c>
      <c r="B2692" s="22"/>
    </row>
    <row r="2694" spans="1:2">
      <c r="A2694" s="22" t="s">
        <v>1246</v>
      </c>
      <c r="B2694" s="22"/>
    </row>
    <row r="2696" spans="1:2">
      <c r="A2696" s="19" t="s">
        <v>423</v>
      </c>
    </row>
    <row r="2698" spans="1:2">
      <c r="A2698" s="19" t="s">
        <v>424</v>
      </c>
    </row>
    <row r="2700" spans="1:2">
      <c r="A2700" s="22" t="s">
        <v>407</v>
      </c>
    </row>
    <row r="2702" spans="1:2">
      <c r="A2702" s="22">
        <v>2</v>
      </c>
    </row>
    <row r="2704" spans="1:2">
      <c r="A2704" s="22" t="s">
        <v>1247</v>
      </c>
      <c r="B2704" s="22"/>
    </row>
    <row r="2706" spans="1:2">
      <c r="A2706" s="22" t="s">
        <v>1248</v>
      </c>
      <c r="B2706" s="22"/>
    </row>
    <row r="2708" spans="1:2">
      <c r="A2708" s="19" t="s">
        <v>423</v>
      </c>
    </row>
    <row r="2710" spans="1:2">
      <c r="A2710" s="19" t="s">
        <v>424</v>
      </c>
    </row>
    <row r="2712" spans="1:2">
      <c r="A2712" s="22" t="s">
        <v>407</v>
      </c>
    </row>
    <row r="2714" spans="1:2">
      <c r="A2714" s="22">
        <v>5</v>
      </c>
    </row>
    <row r="2716" spans="1:2">
      <c r="A2716" s="22" t="s">
        <v>1249</v>
      </c>
      <c r="B2716" s="22"/>
    </row>
    <row r="2718" spans="1:2">
      <c r="A2718" s="22" t="s">
        <v>1250</v>
      </c>
      <c r="B2718" s="22"/>
    </row>
    <row r="2720" spans="1:2">
      <c r="A2720" s="19" t="s">
        <v>423</v>
      </c>
    </row>
    <row r="2722" spans="1:2">
      <c r="A2722" s="19" t="s">
        <v>424</v>
      </c>
    </row>
    <row r="2724" spans="1:2">
      <c r="A2724" s="22" t="s">
        <v>407</v>
      </c>
    </row>
    <row r="2726" spans="1:2">
      <c r="A2726" s="22">
        <v>2</v>
      </c>
    </row>
    <row r="2728" spans="1:2">
      <c r="A2728" s="22" t="s">
        <v>1251</v>
      </c>
      <c r="B2728" s="22"/>
    </row>
    <row r="2730" spans="1:2">
      <c r="A2730" s="22" t="s">
        <v>446</v>
      </c>
      <c r="B2730" s="22"/>
    </row>
    <row r="2732" spans="1:2">
      <c r="A2732" s="19" t="s">
        <v>423</v>
      </c>
    </row>
    <row r="2734" spans="1:2">
      <c r="A2734" s="19" t="s">
        <v>424</v>
      </c>
    </row>
    <row r="2736" spans="1:2">
      <c r="A2736" s="22" t="s">
        <v>407</v>
      </c>
    </row>
    <row r="2738" spans="1:2">
      <c r="A2738" s="22">
        <v>2</v>
      </c>
    </row>
    <row r="2740" spans="1:2">
      <c r="A2740" s="19" t="s">
        <v>2137</v>
      </c>
      <c r="B2740" s="19"/>
    </row>
    <row r="2742" spans="1:2">
      <c r="A2742" s="22" t="s">
        <v>133</v>
      </c>
    </row>
    <row r="2743" spans="1:2">
      <c r="A2743" s="22" t="s">
        <v>131</v>
      </c>
      <c r="B2743" s="22"/>
    </row>
    <row r="2744" spans="1:2">
      <c r="A2744" s="22" t="s">
        <v>389</v>
      </c>
      <c r="B2744" s="22"/>
    </row>
    <row r="2746" spans="1:2">
      <c r="A2746" s="19" t="s">
        <v>400</v>
      </c>
      <c r="B2746" s="19"/>
    </row>
    <row r="2748" spans="1:2">
      <c r="A2748" s="19" t="s">
        <v>2110</v>
      </c>
      <c r="B2748" s="19"/>
    </row>
    <row r="2750" spans="1:2">
      <c r="A2750" s="22" t="s">
        <v>1028</v>
      </c>
      <c r="B2750" s="22"/>
    </row>
    <row r="2752" spans="1:2">
      <c r="A2752" s="22" t="s">
        <v>1252</v>
      </c>
      <c r="B2752" s="22"/>
    </row>
    <row r="2754" spans="1:2">
      <c r="A2754" s="22" t="s">
        <v>485</v>
      </c>
      <c r="B2754" s="22"/>
    </row>
    <row r="2756" spans="1:2">
      <c r="A2756" s="19" t="s">
        <v>406</v>
      </c>
    </row>
    <row r="2758" spans="1:2">
      <c r="A2758" s="22" t="s">
        <v>407</v>
      </c>
    </row>
    <row r="2760" spans="1:2">
      <c r="A2760" s="22">
        <v>2</v>
      </c>
    </row>
    <row r="2762" spans="1:2">
      <c r="A2762" s="22" t="s">
        <v>1253</v>
      </c>
      <c r="B2762" s="22"/>
    </row>
    <row r="2764" spans="1:2">
      <c r="A2764" s="22" t="s">
        <v>446</v>
      </c>
      <c r="B2764" s="22"/>
    </row>
    <row r="2766" spans="1:2">
      <c r="A2766" s="19" t="s">
        <v>423</v>
      </c>
    </row>
    <row r="2768" spans="1:2">
      <c r="A2768" s="19" t="s">
        <v>424</v>
      </c>
    </row>
    <row r="2770" spans="1:2">
      <c r="A2770" s="22" t="s">
        <v>407</v>
      </c>
    </row>
    <row r="2772" spans="1:2">
      <c r="A2772" s="22">
        <v>2</v>
      </c>
    </row>
    <row r="2774" spans="1:2">
      <c r="A2774" s="22" t="s">
        <v>1254</v>
      </c>
      <c r="B2774" s="22"/>
    </row>
    <row r="2776" spans="1:2">
      <c r="A2776" s="22" t="s">
        <v>839</v>
      </c>
      <c r="B2776" s="22"/>
    </row>
    <row r="2778" spans="1:2">
      <c r="A2778" s="19" t="s">
        <v>423</v>
      </c>
    </row>
    <row r="2780" spans="1:2">
      <c r="A2780" s="19" t="s">
        <v>424</v>
      </c>
    </row>
    <row r="2782" spans="1:2">
      <c r="A2782" s="22" t="s">
        <v>407</v>
      </c>
    </row>
    <row r="2784" spans="1:2">
      <c r="A2784" s="22">
        <v>2</v>
      </c>
    </row>
    <row r="2786" spans="1:2">
      <c r="A2786" s="22" t="s">
        <v>1255</v>
      </c>
      <c r="B2786" s="22"/>
    </row>
    <row r="2788" spans="1:2">
      <c r="A2788" s="22" t="s">
        <v>460</v>
      </c>
      <c r="B2788" s="22"/>
    </row>
    <row r="2790" spans="1:2">
      <c r="A2790" s="19" t="s">
        <v>423</v>
      </c>
    </row>
    <row r="2792" spans="1:2">
      <c r="A2792" s="19" t="s">
        <v>424</v>
      </c>
    </row>
    <row r="2794" spans="1:2">
      <c r="A2794" s="22" t="s">
        <v>407</v>
      </c>
    </row>
    <row r="2796" spans="1:2">
      <c r="A2796" s="22">
        <v>8</v>
      </c>
    </row>
    <row r="2798" spans="1:2">
      <c r="A2798" s="22" t="s">
        <v>1256</v>
      </c>
      <c r="B2798" s="22"/>
    </row>
    <row r="2800" spans="1:2">
      <c r="A2800" s="22" t="s">
        <v>843</v>
      </c>
      <c r="B2800" s="22"/>
    </row>
    <row r="2802" spans="1:2">
      <c r="A2802" s="19" t="s">
        <v>423</v>
      </c>
    </row>
    <row r="2804" spans="1:2">
      <c r="A2804" s="19" t="s">
        <v>424</v>
      </c>
    </row>
    <row r="2806" spans="1:2">
      <c r="A2806" s="22" t="s">
        <v>407</v>
      </c>
    </row>
    <row r="2808" spans="1:2">
      <c r="A2808" s="22">
        <v>2</v>
      </c>
    </row>
    <row r="2810" spans="1:2">
      <c r="A2810" s="22" t="s">
        <v>1257</v>
      </c>
      <c r="B2810" s="22"/>
    </row>
    <row r="2812" spans="1:2">
      <c r="A2812" s="22" t="s">
        <v>523</v>
      </c>
      <c r="B2812" s="22"/>
    </row>
    <row r="2814" spans="1:2">
      <c r="A2814" s="19" t="s">
        <v>423</v>
      </c>
    </row>
    <row r="2816" spans="1:2">
      <c r="A2816" s="19" t="s">
        <v>424</v>
      </c>
    </row>
    <row r="2818" spans="1:2">
      <c r="A2818" s="22" t="s">
        <v>407</v>
      </c>
    </row>
    <row r="2820" spans="1:2">
      <c r="A2820" s="22">
        <v>3</v>
      </c>
    </row>
    <row r="2822" spans="1:2">
      <c r="A2822" s="22" t="s">
        <v>1258</v>
      </c>
      <c r="B2822" s="22"/>
    </row>
    <row r="2824" spans="1:2">
      <c r="A2824" s="22" t="s">
        <v>441</v>
      </c>
      <c r="B2824" s="22"/>
    </row>
    <row r="2826" spans="1:2">
      <c r="A2826" s="19" t="s">
        <v>423</v>
      </c>
    </row>
    <row r="2828" spans="1:2">
      <c r="A2828" s="19" t="s">
        <v>424</v>
      </c>
    </row>
    <row r="2830" spans="1:2">
      <c r="A2830" s="22" t="s">
        <v>407</v>
      </c>
    </row>
    <row r="2832" spans="1:2">
      <c r="A2832" s="22">
        <v>2</v>
      </c>
    </row>
    <row r="2834" spans="1:2">
      <c r="A2834" s="22" t="s">
        <v>1259</v>
      </c>
      <c r="B2834" s="22"/>
    </row>
    <row r="2836" spans="1:2">
      <c r="A2836" s="22" t="s">
        <v>726</v>
      </c>
      <c r="B2836" s="22"/>
    </row>
    <row r="2838" spans="1:2">
      <c r="A2838" s="19" t="s">
        <v>423</v>
      </c>
    </row>
    <row r="2840" spans="1:2">
      <c r="A2840" s="19" t="s">
        <v>424</v>
      </c>
    </row>
    <row r="2842" spans="1:2">
      <c r="A2842" s="22" t="s">
        <v>407</v>
      </c>
    </row>
    <row r="2844" spans="1:2">
      <c r="A2844" s="22">
        <v>3</v>
      </c>
    </row>
    <row r="2846" spans="1:2">
      <c r="A2846" s="19" t="s">
        <v>2138</v>
      </c>
      <c r="B2846" s="19"/>
    </row>
    <row r="2848" spans="1:2">
      <c r="A2848" s="22" t="s">
        <v>133</v>
      </c>
    </row>
    <row r="2849" spans="1:2">
      <c r="A2849" s="22" t="s">
        <v>131</v>
      </c>
      <c r="B2849" s="22"/>
    </row>
    <row r="2850" spans="1:2">
      <c r="A2850" s="22" t="s">
        <v>389</v>
      </c>
      <c r="B2850" s="22"/>
    </row>
    <row r="2852" spans="1:2">
      <c r="A2852" s="19" t="s">
        <v>400</v>
      </c>
      <c r="B2852" s="19"/>
    </row>
    <row r="2854" spans="1:2">
      <c r="A2854" s="19" t="s">
        <v>2110</v>
      </c>
      <c r="B2854" s="19"/>
    </row>
    <row r="2856" spans="1:2">
      <c r="A2856" s="22" t="s">
        <v>1028</v>
      </c>
      <c r="B2856" s="22"/>
    </row>
    <row r="2858" spans="1:2">
      <c r="A2858" s="22" t="s">
        <v>1260</v>
      </c>
      <c r="B2858" s="22"/>
    </row>
    <row r="2860" spans="1:2">
      <c r="A2860" s="22" t="s">
        <v>1261</v>
      </c>
      <c r="B2860" s="22"/>
    </row>
    <row r="2862" spans="1:2">
      <c r="A2862" s="19" t="s">
        <v>406</v>
      </c>
    </row>
    <row r="2864" spans="1:2">
      <c r="A2864" s="22" t="s">
        <v>407</v>
      </c>
    </row>
    <row r="2866" spans="1:2">
      <c r="A2866" s="22">
        <v>2</v>
      </c>
    </row>
    <row r="2868" spans="1:2">
      <c r="A2868" s="22" t="s">
        <v>1262</v>
      </c>
      <c r="B2868" s="22"/>
    </row>
    <row r="2870" spans="1:2">
      <c r="A2870" s="22" t="s">
        <v>1261</v>
      </c>
      <c r="B2870" s="22"/>
    </row>
    <row r="2872" spans="1:2">
      <c r="A2872" s="19" t="s">
        <v>423</v>
      </c>
    </row>
    <row r="2874" spans="1:2">
      <c r="A2874" s="19" t="s">
        <v>424</v>
      </c>
    </row>
    <row r="2876" spans="1:2">
      <c r="A2876" s="22" t="s">
        <v>407</v>
      </c>
    </row>
    <row r="2878" spans="1:2">
      <c r="A2878" s="22">
        <v>2</v>
      </c>
    </row>
    <row r="2880" spans="1:2">
      <c r="A2880" s="22" t="s">
        <v>1263</v>
      </c>
      <c r="B2880" s="22"/>
    </row>
    <row r="2882" spans="1:2">
      <c r="A2882" s="22" t="s">
        <v>464</v>
      </c>
      <c r="B2882" s="22"/>
    </row>
    <row r="2884" spans="1:2">
      <c r="A2884" s="19" t="s">
        <v>423</v>
      </c>
    </row>
    <row r="2886" spans="1:2">
      <c r="A2886" s="19" t="s">
        <v>424</v>
      </c>
    </row>
    <row r="2888" spans="1:2">
      <c r="A2888" s="22" t="s">
        <v>407</v>
      </c>
    </row>
    <row r="2890" spans="1:2">
      <c r="A2890" s="22">
        <v>3</v>
      </c>
    </row>
    <row r="2892" spans="1:2">
      <c r="A2892" s="22" t="s">
        <v>1264</v>
      </c>
      <c r="B2892" s="22"/>
    </row>
    <row r="2894" spans="1:2">
      <c r="A2894" s="22" t="s">
        <v>436</v>
      </c>
      <c r="B2894" s="22"/>
    </row>
    <row r="2896" spans="1:2">
      <c r="A2896" s="19" t="s">
        <v>423</v>
      </c>
    </row>
    <row r="2898" spans="1:2">
      <c r="A2898" s="19" t="s">
        <v>424</v>
      </c>
    </row>
    <row r="2900" spans="1:2">
      <c r="A2900" s="22" t="s">
        <v>407</v>
      </c>
    </row>
    <row r="2902" spans="1:2">
      <c r="A2902" s="22">
        <v>3</v>
      </c>
    </row>
    <row r="2904" spans="1:2">
      <c r="A2904" s="22" t="s">
        <v>1265</v>
      </c>
      <c r="B2904" s="22"/>
    </row>
    <row r="2906" spans="1:2">
      <c r="A2906" s="22" t="s">
        <v>733</v>
      </c>
      <c r="B2906" s="22"/>
    </row>
    <row r="2908" spans="1:2">
      <c r="A2908" s="19" t="s">
        <v>423</v>
      </c>
    </row>
    <row r="2910" spans="1:2">
      <c r="A2910" s="19" t="s">
        <v>424</v>
      </c>
    </row>
    <row r="2912" spans="1:2">
      <c r="A2912" s="22" t="s">
        <v>407</v>
      </c>
    </row>
    <row r="2914" spans="1:2">
      <c r="A2914" s="22">
        <v>2</v>
      </c>
    </row>
    <row r="2916" spans="1:2">
      <c r="A2916" s="22" t="s">
        <v>1266</v>
      </c>
      <c r="B2916" s="22"/>
    </row>
    <row r="2918" spans="1:2">
      <c r="A2918" s="22" t="s">
        <v>633</v>
      </c>
      <c r="B2918" s="22"/>
    </row>
    <row r="2920" spans="1:2">
      <c r="A2920" s="19" t="s">
        <v>423</v>
      </c>
    </row>
    <row r="2922" spans="1:2">
      <c r="A2922" s="19" t="s">
        <v>424</v>
      </c>
    </row>
    <row r="2924" spans="1:2">
      <c r="A2924" s="22" t="s">
        <v>407</v>
      </c>
    </row>
    <row r="2926" spans="1:2">
      <c r="A2926" s="22">
        <v>2</v>
      </c>
    </row>
    <row r="2928" spans="1:2">
      <c r="A2928" s="22" t="s">
        <v>1267</v>
      </c>
      <c r="B2928" s="22"/>
    </row>
    <row r="2930" spans="1:2">
      <c r="A2930" s="22" t="s">
        <v>534</v>
      </c>
      <c r="B2930" s="22"/>
    </row>
    <row r="2932" spans="1:2">
      <c r="A2932" s="19" t="s">
        <v>423</v>
      </c>
    </row>
    <row r="2934" spans="1:2">
      <c r="A2934" s="19" t="s">
        <v>424</v>
      </c>
    </row>
    <row r="2936" spans="1:2">
      <c r="A2936" s="22" t="s">
        <v>407</v>
      </c>
    </row>
    <row r="2938" spans="1:2">
      <c r="A2938" s="22">
        <v>2</v>
      </c>
    </row>
    <row r="2940" spans="1:2">
      <c r="A2940" s="22" t="s">
        <v>1268</v>
      </c>
      <c r="B2940" s="22"/>
    </row>
    <row r="2942" spans="1:2">
      <c r="A2942" s="22" t="s">
        <v>458</v>
      </c>
      <c r="B2942" s="22"/>
    </row>
    <row r="2944" spans="1:2">
      <c r="A2944" s="19" t="s">
        <v>423</v>
      </c>
    </row>
    <row r="2946" spans="1:2">
      <c r="A2946" s="19" t="s">
        <v>424</v>
      </c>
    </row>
    <row r="2948" spans="1:2">
      <c r="A2948" s="22" t="s">
        <v>407</v>
      </c>
    </row>
    <row r="2950" spans="1:2">
      <c r="A2950" s="22">
        <v>6</v>
      </c>
    </row>
    <row r="2952" spans="1:2">
      <c r="A2952" s="19" t="s">
        <v>2139</v>
      </c>
      <c r="B2952" s="19"/>
    </row>
    <row r="2954" spans="1:2">
      <c r="A2954" s="22" t="s">
        <v>133</v>
      </c>
    </row>
    <row r="2955" spans="1:2">
      <c r="A2955" s="22" t="s">
        <v>131</v>
      </c>
      <c r="B2955" s="22"/>
    </row>
    <row r="2956" spans="1:2">
      <c r="A2956" s="22" t="s">
        <v>389</v>
      </c>
      <c r="B2956" s="22"/>
    </row>
    <row r="2958" spans="1:2">
      <c r="A2958" s="19" t="s">
        <v>400</v>
      </c>
      <c r="B2958" s="19"/>
    </row>
    <row r="2960" spans="1:2">
      <c r="A2960" s="19" t="s">
        <v>2110</v>
      </c>
      <c r="B2960" s="19"/>
    </row>
    <row r="2962" spans="1:2">
      <c r="A2962" s="22" t="s">
        <v>1028</v>
      </c>
      <c r="B2962" s="22"/>
    </row>
    <row r="2964" spans="1:2">
      <c r="A2964" s="22" t="s">
        <v>1269</v>
      </c>
      <c r="B2964" s="22"/>
    </row>
    <row r="2966" spans="1:2">
      <c r="A2966" s="22" t="s">
        <v>672</v>
      </c>
      <c r="B2966" s="22"/>
    </row>
    <row r="2968" spans="1:2">
      <c r="A2968" s="19" t="s">
        <v>406</v>
      </c>
    </row>
    <row r="2970" spans="1:2">
      <c r="A2970" s="22" t="s">
        <v>407</v>
      </c>
    </row>
    <row r="2972" spans="1:2">
      <c r="A2972" s="22">
        <v>3</v>
      </c>
    </row>
    <row r="2974" spans="1:2">
      <c r="A2974" s="22" t="s">
        <v>1270</v>
      </c>
      <c r="B2974" s="22"/>
    </row>
    <row r="2976" spans="1:2">
      <c r="A2976" s="22" t="s">
        <v>672</v>
      </c>
      <c r="B2976" s="22"/>
    </row>
    <row r="2978" spans="1:2">
      <c r="A2978" s="19" t="s">
        <v>423</v>
      </c>
    </row>
    <row r="2980" spans="1:2">
      <c r="A2980" s="19" t="s">
        <v>424</v>
      </c>
    </row>
    <row r="2982" spans="1:2">
      <c r="A2982" s="22" t="s">
        <v>407</v>
      </c>
    </row>
    <row r="2984" spans="1:2">
      <c r="A2984" s="22">
        <v>3</v>
      </c>
    </row>
    <row r="2986" spans="1:2">
      <c r="A2986" s="22" t="s">
        <v>1271</v>
      </c>
      <c r="B2986" s="22"/>
    </row>
    <row r="2988" spans="1:2">
      <c r="A2988" s="22" t="s">
        <v>540</v>
      </c>
      <c r="B2988" s="22"/>
    </row>
    <row r="2990" spans="1:2">
      <c r="A2990" s="19" t="s">
        <v>423</v>
      </c>
    </row>
    <row r="2992" spans="1:2">
      <c r="A2992" s="19" t="s">
        <v>424</v>
      </c>
    </row>
    <row r="2994" spans="1:2">
      <c r="A2994" s="22" t="s">
        <v>407</v>
      </c>
    </row>
    <row r="2996" spans="1:2">
      <c r="A2996" s="22">
        <v>3</v>
      </c>
    </row>
    <row r="2998" spans="1:2">
      <c r="A2998" s="22" t="s">
        <v>1272</v>
      </c>
      <c r="B2998" s="22"/>
    </row>
    <row r="3000" spans="1:2">
      <c r="A3000" s="22" t="s">
        <v>538</v>
      </c>
      <c r="B3000" s="22"/>
    </row>
    <row r="3002" spans="1:2">
      <c r="A3002" s="19" t="s">
        <v>423</v>
      </c>
    </row>
    <row r="3004" spans="1:2">
      <c r="A3004" s="19" t="s">
        <v>424</v>
      </c>
    </row>
    <row r="3006" spans="1:2">
      <c r="A3006" s="22" t="s">
        <v>407</v>
      </c>
    </row>
    <row r="3008" spans="1:2">
      <c r="A3008" s="22">
        <v>2</v>
      </c>
    </row>
    <row r="3010" spans="1:2">
      <c r="A3010" s="22" t="s">
        <v>1273</v>
      </c>
      <c r="B3010" s="22"/>
    </row>
    <row r="3012" spans="1:2">
      <c r="A3012" s="22" t="s">
        <v>745</v>
      </c>
      <c r="B3012" s="22"/>
    </row>
    <row r="3014" spans="1:2">
      <c r="A3014" s="19" t="s">
        <v>423</v>
      </c>
    </row>
    <row r="3016" spans="1:2">
      <c r="A3016" s="19" t="s">
        <v>424</v>
      </c>
    </row>
    <row r="3018" spans="1:2">
      <c r="A3018" s="22" t="s">
        <v>407</v>
      </c>
    </row>
    <row r="3020" spans="1:2">
      <c r="A3020" s="22">
        <v>2</v>
      </c>
    </row>
    <row r="3022" spans="1:2">
      <c r="A3022" s="22" t="s">
        <v>1274</v>
      </c>
      <c r="B3022" s="22"/>
    </row>
    <row r="3024" spans="1:2">
      <c r="A3024" s="22" t="s">
        <v>676</v>
      </c>
      <c r="B3024" s="22"/>
    </row>
    <row r="3026" spans="1:2">
      <c r="A3026" s="19" t="s">
        <v>423</v>
      </c>
    </row>
    <row r="3028" spans="1:2">
      <c r="A3028" s="19" t="s">
        <v>424</v>
      </c>
    </row>
    <row r="3030" spans="1:2">
      <c r="A3030" s="22" t="s">
        <v>407</v>
      </c>
    </row>
    <row r="3032" spans="1:2">
      <c r="A3032" s="22">
        <v>2</v>
      </c>
    </row>
    <row r="3034" spans="1:2">
      <c r="A3034" s="22" t="s">
        <v>1275</v>
      </c>
      <c r="B3034" s="22"/>
    </row>
    <row r="3036" spans="1:2">
      <c r="A3036" s="22" t="s">
        <v>709</v>
      </c>
      <c r="B3036" s="22"/>
    </row>
    <row r="3038" spans="1:2">
      <c r="A3038" s="19" t="s">
        <v>423</v>
      </c>
    </row>
    <row r="3040" spans="1:2">
      <c r="A3040" s="19" t="s">
        <v>424</v>
      </c>
    </row>
    <row r="3042" spans="1:2">
      <c r="A3042" s="22" t="s">
        <v>407</v>
      </c>
    </row>
    <row r="3044" spans="1:2">
      <c r="A3044" s="22">
        <v>2</v>
      </c>
    </row>
    <row r="3046" spans="1:2">
      <c r="A3046" s="22" t="s">
        <v>1276</v>
      </c>
      <c r="B3046" s="22"/>
    </row>
    <row r="3048" spans="1:2">
      <c r="A3048" s="22" t="s">
        <v>648</v>
      </c>
      <c r="B3048" s="22"/>
    </row>
    <row r="3050" spans="1:2">
      <c r="A3050" s="19" t="s">
        <v>423</v>
      </c>
    </row>
    <row r="3052" spans="1:2">
      <c r="A3052" s="19" t="s">
        <v>424</v>
      </c>
    </row>
    <row r="3054" spans="1:2">
      <c r="A3054" s="22" t="s">
        <v>407</v>
      </c>
    </row>
    <row r="3056" spans="1:2">
      <c r="A3056" s="22">
        <v>2</v>
      </c>
    </row>
    <row r="3058" spans="1:2">
      <c r="A3058" s="19" t="s">
        <v>2140</v>
      </c>
      <c r="B3058" s="19"/>
    </row>
    <row r="3060" spans="1:2">
      <c r="A3060" s="22" t="s">
        <v>133</v>
      </c>
    </row>
    <row r="3061" spans="1:2">
      <c r="A3061" s="22" t="s">
        <v>131</v>
      </c>
      <c r="B3061" s="22"/>
    </row>
    <row r="3062" spans="1:2">
      <c r="A3062" s="22" t="s">
        <v>389</v>
      </c>
      <c r="B3062" s="22"/>
    </row>
    <row r="3064" spans="1:2">
      <c r="A3064" s="19" t="s">
        <v>400</v>
      </c>
      <c r="B3064" s="19"/>
    </row>
    <row r="3066" spans="1:2">
      <c r="A3066" s="19" t="s">
        <v>2110</v>
      </c>
      <c r="B3066" s="19"/>
    </row>
    <row r="3068" spans="1:2">
      <c r="A3068" s="22" t="s">
        <v>1028</v>
      </c>
      <c r="B3068" s="22"/>
    </row>
    <row r="3070" spans="1:2">
      <c r="A3070" s="22" t="s">
        <v>1277</v>
      </c>
      <c r="B3070" s="22"/>
    </row>
    <row r="3072" spans="1:2">
      <c r="A3072" s="22" t="s">
        <v>650</v>
      </c>
      <c r="B3072" s="22"/>
    </row>
    <row r="3074" spans="1:2">
      <c r="A3074" s="19" t="s">
        <v>406</v>
      </c>
    </row>
    <row r="3076" spans="1:2">
      <c r="A3076" s="22" t="s">
        <v>407</v>
      </c>
    </row>
    <row r="3078" spans="1:2">
      <c r="A3078" s="22">
        <v>6</v>
      </c>
    </row>
    <row r="3080" spans="1:2">
      <c r="A3080" s="22" t="s">
        <v>1278</v>
      </c>
      <c r="B3080" s="22"/>
    </row>
    <row r="3082" spans="1:2">
      <c r="A3082" s="22" t="s">
        <v>652</v>
      </c>
      <c r="B3082" s="22"/>
    </row>
    <row r="3084" spans="1:2">
      <c r="A3084" s="19" t="s">
        <v>423</v>
      </c>
    </row>
    <row r="3086" spans="1:2">
      <c r="A3086" s="19" t="s">
        <v>424</v>
      </c>
    </row>
    <row r="3088" spans="1:2">
      <c r="A3088" s="22" t="s">
        <v>407</v>
      </c>
    </row>
    <row r="3090" spans="1:2">
      <c r="A3090" s="22">
        <v>2</v>
      </c>
    </row>
    <row r="3092" spans="1:2">
      <c r="A3092" s="22" t="s">
        <v>1279</v>
      </c>
      <c r="B3092" s="22"/>
    </row>
    <row r="3094" spans="1:2">
      <c r="A3094" s="22" t="s">
        <v>1280</v>
      </c>
      <c r="B3094" s="22"/>
    </row>
    <row r="3096" spans="1:2">
      <c r="A3096" s="19" t="s">
        <v>423</v>
      </c>
    </row>
    <row r="3098" spans="1:2">
      <c r="A3098" s="19" t="s">
        <v>424</v>
      </c>
    </row>
    <row r="3100" spans="1:2">
      <c r="A3100" s="22" t="s">
        <v>407</v>
      </c>
    </row>
    <row r="3102" spans="1:2">
      <c r="A3102" s="22">
        <v>2</v>
      </c>
    </row>
    <row r="3104" spans="1:2">
      <c r="A3104" s="22" t="s">
        <v>1281</v>
      </c>
      <c r="B3104" s="22"/>
    </row>
    <row r="3106" spans="1:2">
      <c r="A3106" s="22" t="s">
        <v>492</v>
      </c>
      <c r="B3106" s="22"/>
    </row>
    <row r="3108" spans="1:2">
      <c r="A3108" s="19" t="s">
        <v>423</v>
      </c>
    </row>
    <row r="3110" spans="1:2">
      <c r="A3110" s="19" t="s">
        <v>424</v>
      </c>
    </row>
    <row r="3112" spans="1:2">
      <c r="A3112" s="22" t="s">
        <v>407</v>
      </c>
    </row>
    <row r="3114" spans="1:2">
      <c r="A3114" s="22">
        <v>2</v>
      </c>
    </row>
    <row r="3116" spans="1:2">
      <c r="A3116" s="22" t="s">
        <v>1282</v>
      </c>
      <c r="B3116" s="22"/>
    </row>
    <row r="3118" spans="1:2">
      <c r="A3118" s="22" t="s">
        <v>755</v>
      </c>
      <c r="B3118" s="22"/>
    </row>
    <row r="3120" spans="1:2">
      <c r="A3120" s="19" t="s">
        <v>423</v>
      </c>
    </row>
    <row r="3122" spans="1:2">
      <c r="A3122" s="19" t="s">
        <v>424</v>
      </c>
    </row>
    <row r="3124" spans="1:2">
      <c r="A3124" s="22" t="s">
        <v>407</v>
      </c>
    </row>
    <row r="3126" spans="1:2">
      <c r="A3126" s="22">
        <v>3</v>
      </c>
    </row>
    <row r="3128" spans="1:2">
      <c r="A3128" s="22" t="s">
        <v>1283</v>
      </c>
      <c r="B3128" s="22"/>
    </row>
    <row r="3130" spans="1:2">
      <c r="A3130" s="22" t="s">
        <v>1096</v>
      </c>
      <c r="B3130" s="22"/>
    </row>
    <row r="3132" spans="1:2">
      <c r="A3132" s="19" t="s">
        <v>423</v>
      </c>
    </row>
    <row r="3134" spans="1:2">
      <c r="A3134" s="19" t="s">
        <v>424</v>
      </c>
    </row>
    <row r="3136" spans="1:2">
      <c r="A3136" s="22" t="s">
        <v>407</v>
      </c>
    </row>
    <row r="3138" spans="1:2">
      <c r="A3138" s="22">
        <v>3</v>
      </c>
    </row>
    <row r="3140" spans="1:2">
      <c r="A3140" s="22" t="s">
        <v>1284</v>
      </c>
      <c r="B3140" s="22"/>
    </row>
    <row r="3142" spans="1:2">
      <c r="A3142" s="22" t="s">
        <v>418</v>
      </c>
      <c r="B3142" s="22"/>
    </row>
    <row r="3144" spans="1:2">
      <c r="A3144" s="19" t="s">
        <v>423</v>
      </c>
    </row>
    <row r="3146" spans="1:2">
      <c r="A3146" s="19" t="s">
        <v>424</v>
      </c>
    </row>
    <row r="3148" spans="1:2">
      <c r="A3148" s="22" t="s">
        <v>407</v>
      </c>
    </row>
    <row r="3150" spans="1:2">
      <c r="A3150" s="22">
        <v>1</v>
      </c>
    </row>
    <row r="3152" spans="1:2">
      <c r="A3152" s="22" t="s">
        <v>1285</v>
      </c>
      <c r="B3152" s="22"/>
    </row>
    <row r="3154" spans="1:2">
      <c r="A3154" s="22" t="s">
        <v>422</v>
      </c>
      <c r="B3154" s="22"/>
    </row>
    <row r="3156" spans="1:2">
      <c r="A3156" s="19" t="s">
        <v>423</v>
      </c>
    </row>
    <row r="3158" spans="1:2">
      <c r="A3158" s="19" t="s">
        <v>424</v>
      </c>
    </row>
    <row r="3160" spans="1:2">
      <c r="A3160" s="22" t="s">
        <v>407</v>
      </c>
    </row>
    <row r="3162" spans="1:2">
      <c r="A3162" s="22">
        <v>1</v>
      </c>
    </row>
    <row r="3164" spans="1:2">
      <c r="A3164" s="19" t="s">
        <v>2141</v>
      </c>
      <c r="B3164" s="19"/>
    </row>
    <row r="3166" spans="1:2">
      <c r="A3166" s="22" t="s">
        <v>133</v>
      </c>
    </row>
    <row r="3167" spans="1:2">
      <c r="A3167" s="22" t="s">
        <v>131</v>
      </c>
      <c r="B3167" s="22"/>
    </row>
    <row r="3168" spans="1:2">
      <c r="A3168" s="22" t="s">
        <v>389</v>
      </c>
      <c r="B3168" s="22"/>
    </row>
    <row r="3170" spans="1:2">
      <c r="A3170" s="19" t="s">
        <v>400</v>
      </c>
      <c r="B3170" s="19"/>
    </row>
    <row r="3172" spans="1:2">
      <c r="A3172" s="19" t="s">
        <v>2110</v>
      </c>
      <c r="B3172" s="19"/>
    </row>
    <row r="3174" spans="1:2">
      <c r="A3174" s="22" t="s">
        <v>1028</v>
      </c>
      <c r="B3174" s="22"/>
    </row>
    <row r="3176" spans="1:2">
      <c r="A3176" s="22" t="s">
        <v>1286</v>
      </c>
      <c r="B3176" s="22"/>
    </row>
    <row r="3178" spans="1:2">
      <c r="A3178" s="22" t="s">
        <v>436</v>
      </c>
      <c r="B3178" s="22"/>
    </row>
    <row r="3180" spans="1:2">
      <c r="A3180" s="19" t="s">
        <v>406</v>
      </c>
    </row>
    <row r="3182" spans="1:2">
      <c r="A3182" s="22" t="s">
        <v>407</v>
      </c>
    </row>
    <row r="3184" spans="1:2">
      <c r="A3184" s="22">
        <v>3</v>
      </c>
    </row>
    <row r="3186" spans="1:2">
      <c r="A3186" s="22" t="s">
        <v>1287</v>
      </c>
      <c r="B3186" s="22"/>
    </row>
    <row r="3188" spans="1:2">
      <c r="A3188" s="22" t="s">
        <v>441</v>
      </c>
      <c r="B3188" s="22"/>
    </row>
    <row r="3190" spans="1:2">
      <c r="A3190" s="19" t="s">
        <v>423</v>
      </c>
    </row>
    <row r="3192" spans="1:2">
      <c r="A3192" s="19" t="s">
        <v>424</v>
      </c>
    </row>
    <row r="3194" spans="1:2">
      <c r="A3194" s="22" t="s">
        <v>407</v>
      </c>
    </row>
    <row r="3196" spans="1:2">
      <c r="A3196" s="22">
        <v>2</v>
      </c>
    </row>
    <row r="3198" spans="1:2">
      <c r="A3198" s="22" t="s">
        <v>1288</v>
      </c>
      <c r="B3198" s="22"/>
    </row>
    <row r="3200" spans="1:2">
      <c r="A3200" s="22" t="s">
        <v>438</v>
      </c>
      <c r="B3200" s="22"/>
    </row>
    <row r="3202" spans="1:2">
      <c r="A3202" s="19" t="s">
        <v>423</v>
      </c>
    </row>
    <row r="3204" spans="1:2">
      <c r="A3204" s="19" t="s">
        <v>424</v>
      </c>
    </row>
    <row r="3206" spans="1:2">
      <c r="A3206" s="22" t="s">
        <v>407</v>
      </c>
    </row>
    <row r="3208" spans="1:2">
      <c r="A3208" s="22">
        <v>2</v>
      </c>
    </row>
    <row r="3210" spans="1:2">
      <c r="A3210" s="22" t="s">
        <v>1289</v>
      </c>
      <c r="B3210" s="22"/>
    </row>
    <row r="3212" spans="1:2">
      <c r="A3212" s="22" t="s">
        <v>438</v>
      </c>
      <c r="B3212" s="22"/>
    </row>
    <row r="3214" spans="1:2">
      <c r="A3214" s="19" t="s">
        <v>423</v>
      </c>
    </row>
    <row r="3216" spans="1:2">
      <c r="A3216" s="19" t="s">
        <v>424</v>
      </c>
    </row>
    <row r="3218" spans="1:2">
      <c r="A3218" s="22" t="s">
        <v>407</v>
      </c>
    </row>
    <row r="3220" spans="1:2">
      <c r="A3220" s="22">
        <v>2</v>
      </c>
    </row>
    <row r="3222" spans="1:2">
      <c r="A3222" s="22" t="s">
        <v>1290</v>
      </c>
      <c r="B3222" s="22"/>
    </row>
    <row r="3224" spans="1:2">
      <c r="A3224" s="22" t="s">
        <v>428</v>
      </c>
      <c r="B3224" s="22"/>
    </row>
    <row r="3226" spans="1:2">
      <c r="A3226" s="19" t="s">
        <v>423</v>
      </c>
    </row>
    <row r="3228" spans="1:2">
      <c r="A3228" s="19" t="s">
        <v>424</v>
      </c>
    </row>
    <row r="3230" spans="1:2">
      <c r="A3230" s="22" t="s">
        <v>407</v>
      </c>
    </row>
    <row r="3232" spans="1:2">
      <c r="A3232" s="22">
        <v>3</v>
      </c>
    </row>
    <row r="3234" spans="1:2">
      <c r="A3234" s="22" t="s">
        <v>1291</v>
      </c>
      <c r="B3234" s="22"/>
    </row>
    <row r="3236" spans="1:2">
      <c r="A3236" s="22" t="s">
        <v>422</v>
      </c>
      <c r="B3236" s="22"/>
    </row>
    <row r="3238" spans="1:2">
      <c r="A3238" s="19" t="s">
        <v>423</v>
      </c>
    </row>
    <row r="3240" spans="1:2">
      <c r="A3240" s="19" t="s">
        <v>424</v>
      </c>
    </row>
    <row r="3242" spans="1:2">
      <c r="A3242" s="22" t="s">
        <v>407</v>
      </c>
    </row>
    <row r="3244" spans="1:2">
      <c r="A3244" s="22">
        <v>2</v>
      </c>
    </row>
    <row r="3246" spans="1:2">
      <c r="A3246" s="22" t="s">
        <v>1292</v>
      </c>
      <c r="B3246" s="22"/>
    </row>
    <row r="3248" spans="1:2">
      <c r="A3248" s="22" t="s">
        <v>1053</v>
      </c>
      <c r="B3248" s="22"/>
    </row>
    <row r="3250" spans="1:2">
      <c r="A3250" s="19" t="s">
        <v>423</v>
      </c>
    </row>
    <row r="3252" spans="1:2">
      <c r="A3252" s="19" t="s">
        <v>424</v>
      </c>
    </row>
    <row r="3254" spans="1:2">
      <c r="A3254" s="22" t="s">
        <v>407</v>
      </c>
    </row>
    <row r="3256" spans="1:2">
      <c r="A3256" s="22">
        <v>3</v>
      </c>
    </row>
    <row r="3258" spans="1:2">
      <c r="A3258" s="22" t="s">
        <v>1293</v>
      </c>
      <c r="B3258" s="22"/>
    </row>
    <row r="3260" spans="1:2">
      <c r="A3260" s="22" t="s">
        <v>1096</v>
      </c>
      <c r="B3260" s="22"/>
    </row>
    <row r="3262" spans="1:2">
      <c r="A3262" s="19" t="s">
        <v>423</v>
      </c>
    </row>
    <row r="3264" spans="1:2">
      <c r="A3264" s="19" t="s">
        <v>424</v>
      </c>
    </row>
    <row r="3266" spans="1:2">
      <c r="A3266" s="22" t="s">
        <v>407</v>
      </c>
    </row>
    <row r="3268" spans="1:2">
      <c r="A3268" s="22">
        <v>3</v>
      </c>
    </row>
    <row r="3270" spans="1:2">
      <c r="A3270" s="19" t="s">
        <v>2142</v>
      </c>
      <c r="B3270" s="19"/>
    </row>
    <row r="3272" spans="1:2">
      <c r="A3272" s="22" t="s">
        <v>133</v>
      </c>
    </row>
    <row r="3273" spans="1:2">
      <c r="A3273" s="22" t="s">
        <v>131</v>
      </c>
      <c r="B3273" s="22"/>
    </row>
    <row r="3274" spans="1:2">
      <c r="A3274" s="22" t="s">
        <v>389</v>
      </c>
      <c r="B3274" s="22"/>
    </row>
    <row r="3276" spans="1:2">
      <c r="A3276" s="19" t="s">
        <v>400</v>
      </c>
      <c r="B3276" s="19"/>
    </row>
    <row r="3278" spans="1:2">
      <c r="A3278" s="19" t="s">
        <v>2110</v>
      </c>
      <c r="B3278" s="19"/>
    </row>
    <row r="3280" spans="1:2">
      <c r="A3280" s="22" t="s">
        <v>1028</v>
      </c>
      <c r="B3280" s="22"/>
    </row>
    <row r="3282" spans="1:2">
      <c r="A3282" s="22" t="s">
        <v>1294</v>
      </c>
      <c r="B3282" s="22"/>
    </row>
    <row r="3284" spans="1:2">
      <c r="A3284" s="22" t="s">
        <v>441</v>
      </c>
      <c r="B3284" s="22"/>
    </row>
    <row r="3286" spans="1:2">
      <c r="A3286" s="19" t="s">
        <v>406</v>
      </c>
    </row>
    <row r="3288" spans="1:2">
      <c r="A3288" s="22" t="s">
        <v>407</v>
      </c>
    </row>
    <row r="3290" spans="1:2">
      <c r="A3290" s="22">
        <v>2</v>
      </c>
    </row>
    <row r="3292" spans="1:2">
      <c r="A3292" s="22" t="s">
        <v>1295</v>
      </c>
      <c r="B3292" s="22"/>
    </row>
    <row r="3294" spans="1:2">
      <c r="A3294" s="22" t="s">
        <v>441</v>
      </c>
      <c r="B3294" s="22"/>
    </row>
    <row r="3296" spans="1:2">
      <c r="A3296" s="19" t="s">
        <v>423</v>
      </c>
    </row>
    <row r="3298" spans="1:2">
      <c r="A3298" s="19" t="s">
        <v>424</v>
      </c>
    </row>
    <row r="3300" spans="1:2">
      <c r="A3300" s="22" t="s">
        <v>407</v>
      </c>
    </row>
    <row r="3302" spans="1:2">
      <c r="A3302" s="22">
        <v>2</v>
      </c>
    </row>
    <row r="3304" spans="1:2">
      <c r="A3304" s="22" t="s">
        <v>1296</v>
      </c>
      <c r="B3304" s="22"/>
    </row>
    <row r="3306" spans="1:2">
      <c r="A3306" s="22" t="s">
        <v>1056</v>
      </c>
      <c r="B3306" s="22"/>
    </row>
    <row r="3308" spans="1:2">
      <c r="A3308" s="19" t="s">
        <v>423</v>
      </c>
    </row>
    <row r="3310" spans="1:2">
      <c r="A3310" s="19" t="s">
        <v>424</v>
      </c>
    </row>
    <row r="3312" spans="1:2">
      <c r="A3312" s="22" t="s">
        <v>407</v>
      </c>
    </row>
    <row r="3314" spans="1:2">
      <c r="A3314" s="22">
        <v>2</v>
      </c>
    </row>
    <row r="3316" spans="1:2">
      <c r="A3316" s="22" t="s">
        <v>1297</v>
      </c>
      <c r="B3316" s="22"/>
    </row>
    <row r="3318" spans="1:2">
      <c r="A3318" s="22" t="s">
        <v>428</v>
      </c>
      <c r="B3318" s="22"/>
    </row>
    <row r="3320" spans="1:2">
      <c r="A3320" s="19" t="s">
        <v>423</v>
      </c>
    </row>
    <row r="3322" spans="1:2">
      <c r="A3322" s="19" t="s">
        <v>424</v>
      </c>
    </row>
    <row r="3324" spans="1:2">
      <c r="A3324" s="22" t="s">
        <v>407</v>
      </c>
    </row>
    <row r="3326" spans="1:2">
      <c r="A3326" s="22">
        <v>3</v>
      </c>
    </row>
    <row r="3328" spans="1:2">
      <c r="A3328" s="22" t="s">
        <v>1298</v>
      </c>
      <c r="B3328" s="22"/>
    </row>
    <row r="3330" spans="1:2">
      <c r="A3330" s="22" t="s">
        <v>495</v>
      </c>
      <c r="B3330" s="22"/>
    </row>
    <row r="3332" spans="1:2">
      <c r="A3332" s="19" t="s">
        <v>423</v>
      </c>
    </row>
    <row r="3334" spans="1:2">
      <c r="A3334" s="19" t="s">
        <v>424</v>
      </c>
    </row>
    <row r="3336" spans="1:2">
      <c r="A3336" s="22" t="s">
        <v>407</v>
      </c>
    </row>
    <row r="3338" spans="1:2">
      <c r="A3338" s="22">
        <v>6</v>
      </c>
    </row>
    <row r="3340" spans="1:2">
      <c r="A3340" s="22" t="s">
        <v>1299</v>
      </c>
      <c r="B3340" s="22"/>
    </row>
    <row r="3342" spans="1:2">
      <c r="A3342" s="22" t="s">
        <v>495</v>
      </c>
      <c r="B3342" s="22"/>
    </row>
    <row r="3344" spans="1:2">
      <c r="A3344" s="19" t="s">
        <v>423</v>
      </c>
    </row>
    <row r="3346" spans="1:2">
      <c r="A3346" s="19" t="s">
        <v>424</v>
      </c>
    </row>
    <row r="3348" spans="1:2">
      <c r="A3348" s="22" t="s">
        <v>407</v>
      </c>
    </row>
    <row r="3350" spans="1:2">
      <c r="A3350" s="22">
        <v>6</v>
      </c>
    </row>
    <row r="3352" spans="1:2">
      <c r="A3352" s="22" t="s">
        <v>1300</v>
      </c>
      <c r="B3352" s="22"/>
    </row>
    <row r="3354" spans="1:2">
      <c r="A3354" s="22" t="s">
        <v>444</v>
      </c>
      <c r="B3354" s="22"/>
    </row>
    <row r="3356" spans="1:2">
      <c r="A3356" s="19" t="s">
        <v>423</v>
      </c>
    </row>
    <row r="3358" spans="1:2">
      <c r="A3358" s="19" t="s">
        <v>424</v>
      </c>
    </row>
    <row r="3360" spans="1:2">
      <c r="A3360" s="22" t="s">
        <v>407</v>
      </c>
    </row>
    <row r="3362" spans="1:2">
      <c r="A3362" s="22">
        <v>6</v>
      </c>
    </row>
    <row r="3364" spans="1:2">
      <c r="A3364" s="22" t="s">
        <v>1301</v>
      </c>
      <c r="B3364" s="22"/>
    </row>
    <row r="3366" spans="1:2">
      <c r="A3366" s="22" t="s">
        <v>444</v>
      </c>
      <c r="B3366" s="22"/>
    </row>
    <row r="3368" spans="1:2">
      <c r="A3368" s="19" t="s">
        <v>423</v>
      </c>
    </row>
    <row r="3370" spans="1:2">
      <c r="A3370" s="19" t="s">
        <v>424</v>
      </c>
    </row>
    <row r="3372" spans="1:2">
      <c r="A3372" s="22" t="s">
        <v>407</v>
      </c>
    </row>
    <row r="3374" spans="1:2">
      <c r="A3374" s="22">
        <v>6</v>
      </c>
    </row>
    <row r="3376" spans="1:2">
      <c r="A3376" s="19" t="s">
        <v>2143</v>
      </c>
      <c r="B3376" s="19"/>
    </row>
    <row r="3378" spans="1:2">
      <c r="A3378" s="22" t="s">
        <v>133</v>
      </c>
    </row>
    <row r="3379" spans="1:2">
      <c r="A3379" s="22" t="s">
        <v>131</v>
      </c>
      <c r="B3379" s="22"/>
    </row>
    <row r="3380" spans="1:2">
      <c r="A3380" s="22" t="s">
        <v>389</v>
      </c>
      <c r="B3380" s="22"/>
    </row>
    <row r="3382" spans="1:2">
      <c r="A3382" s="19" t="s">
        <v>400</v>
      </c>
      <c r="B3382" s="19"/>
    </row>
    <row r="3384" spans="1:2">
      <c r="A3384" s="19" t="s">
        <v>2110</v>
      </c>
      <c r="B3384" s="19"/>
    </row>
    <row r="3386" spans="1:2">
      <c r="A3386" s="22" t="s">
        <v>1028</v>
      </c>
      <c r="B3386" s="22"/>
    </row>
    <row r="3388" spans="1:2">
      <c r="A3388" s="22" t="s">
        <v>1302</v>
      </c>
      <c r="B3388" s="22"/>
    </row>
    <row r="3390" spans="1:2">
      <c r="A3390" s="22" t="s">
        <v>582</v>
      </c>
      <c r="B3390" s="22"/>
    </row>
    <row r="3392" spans="1:2">
      <c r="A3392" s="19" t="s">
        <v>406</v>
      </c>
    </row>
    <row r="3394" spans="1:2">
      <c r="A3394" s="22" t="s">
        <v>407</v>
      </c>
    </row>
    <row r="3396" spans="1:2">
      <c r="A3396" s="22">
        <v>2</v>
      </c>
    </row>
    <row r="3398" spans="1:2">
      <c r="A3398" s="22" t="s">
        <v>1303</v>
      </c>
      <c r="B3398" s="22"/>
    </row>
    <row r="3400" spans="1:2">
      <c r="A3400" s="22" t="s">
        <v>587</v>
      </c>
      <c r="B3400" s="22"/>
    </row>
    <row r="3402" spans="1:2">
      <c r="A3402" s="19" t="s">
        <v>423</v>
      </c>
    </row>
    <row r="3404" spans="1:2">
      <c r="A3404" s="19" t="s">
        <v>424</v>
      </c>
    </row>
    <row r="3406" spans="1:2">
      <c r="A3406" s="22" t="s">
        <v>407</v>
      </c>
    </row>
    <row r="3408" spans="1:2">
      <c r="A3408" s="22">
        <v>2</v>
      </c>
    </row>
    <row r="3410" spans="1:2">
      <c r="A3410" s="22" t="s">
        <v>1304</v>
      </c>
      <c r="B3410" s="22"/>
    </row>
    <row r="3412" spans="1:2">
      <c r="A3412" s="22" t="s">
        <v>504</v>
      </c>
      <c r="B3412" s="22"/>
    </row>
    <row r="3414" spans="1:2">
      <c r="A3414" s="19" t="s">
        <v>423</v>
      </c>
    </row>
    <row r="3416" spans="1:2">
      <c r="A3416" s="19" t="s">
        <v>424</v>
      </c>
    </row>
    <row r="3418" spans="1:2">
      <c r="A3418" s="22" t="s">
        <v>407</v>
      </c>
    </row>
    <row r="3420" spans="1:2">
      <c r="A3420" s="22">
        <v>2</v>
      </c>
    </row>
    <row r="3422" spans="1:2">
      <c r="A3422" s="22" t="s">
        <v>1305</v>
      </c>
      <c r="B3422" s="22"/>
    </row>
    <row r="3424" spans="1:2">
      <c r="A3424" s="22" t="s">
        <v>703</v>
      </c>
      <c r="B3424" s="22"/>
    </row>
    <row r="3426" spans="1:2">
      <c r="A3426" s="19" t="s">
        <v>423</v>
      </c>
    </row>
    <row r="3428" spans="1:2">
      <c r="A3428" s="19" t="s">
        <v>424</v>
      </c>
    </row>
    <row r="3430" spans="1:2">
      <c r="A3430" s="22" t="s">
        <v>407</v>
      </c>
    </row>
    <row r="3432" spans="1:2">
      <c r="A3432" s="22">
        <v>4</v>
      </c>
    </row>
    <row r="3434" spans="1:2">
      <c r="A3434" s="22" t="s">
        <v>1306</v>
      </c>
      <c r="B3434" s="22"/>
    </row>
    <row r="3436" spans="1:2">
      <c r="A3436" s="22" t="s">
        <v>884</v>
      </c>
      <c r="B3436" s="22"/>
    </row>
    <row r="3438" spans="1:2">
      <c r="A3438" s="19" t="s">
        <v>423</v>
      </c>
    </row>
    <row r="3440" spans="1:2">
      <c r="A3440" s="19" t="s">
        <v>424</v>
      </c>
    </row>
    <row r="3442" spans="1:2">
      <c r="A3442" s="22" t="s">
        <v>407</v>
      </c>
    </row>
    <row r="3444" spans="1:2">
      <c r="A3444" s="22">
        <v>2</v>
      </c>
    </row>
    <row r="3446" spans="1:2">
      <c r="A3446" s="22" t="s">
        <v>1307</v>
      </c>
      <c r="B3446" s="22"/>
    </row>
    <row r="3448" spans="1:2">
      <c r="A3448" s="22" t="s">
        <v>1261</v>
      </c>
      <c r="B3448" s="22"/>
    </row>
    <row r="3450" spans="1:2">
      <c r="A3450" s="19" t="s">
        <v>423</v>
      </c>
    </row>
    <row r="3452" spans="1:2">
      <c r="A3452" s="19" t="s">
        <v>424</v>
      </c>
    </row>
    <row r="3454" spans="1:2">
      <c r="A3454" s="22" t="s">
        <v>407</v>
      </c>
    </row>
    <row r="3456" spans="1:2">
      <c r="A3456" s="22">
        <v>2</v>
      </c>
    </row>
    <row r="3458" spans="1:2">
      <c r="A3458" s="22" t="s">
        <v>1308</v>
      </c>
      <c r="B3458" s="22"/>
    </row>
    <row r="3460" spans="1:2">
      <c r="A3460" s="22" t="s">
        <v>550</v>
      </c>
      <c r="B3460" s="22"/>
    </row>
    <row r="3462" spans="1:2">
      <c r="A3462" s="19" t="s">
        <v>423</v>
      </c>
    </row>
    <row r="3464" spans="1:2">
      <c r="A3464" s="19" t="s">
        <v>424</v>
      </c>
    </row>
    <row r="3466" spans="1:2">
      <c r="A3466" s="22" t="s">
        <v>407</v>
      </c>
    </row>
    <row r="3468" spans="1:2">
      <c r="A3468" s="22">
        <v>2</v>
      </c>
    </row>
    <row r="3470" spans="1:2">
      <c r="A3470" s="22" t="s">
        <v>1309</v>
      </c>
      <c r="B3470" s="22"/>
    </row>
    <row r="3472" spans="1:2">
      <c r="A3472" s="22" t="s">
        <v>1310</v>
      </c>
      <c r="B3472" s="22"/>
    </row>
    <row r="3474" spans="1:2">
      <c r="A3474" s="19" t="s">
        <v>423</v>
      </c>
    </row>
    <row r="3476" spans="1:2">
      <c r="A3476" s="19" t="s">
        <v>424</v>
      </c>
    </row>
    <row r="3478" spans="1:2">
      <c r="A3478" s="22" t="s">
        <v>407</v>
      </c>
    </row>
    <row r="3480" spans="1:2">
      <c r="A3480" s="22">
        <v>3</v>
      </c>
    </row>
    <row r="3482" spans="1:2">
      <c r="A3482" s="19" t="s">
        <v>2144</v>
      </c>
      <c r="B3482" s="19"/>
    </row>
    <row r="3484" spans="1:2">
      <c r="A3484" s="22" t="s">
        <v>133</v>
      </c>
    </row>
    <row r="3485" spans="1:2">
      <c r="A3485" s="22" t="s">
        <v>131</v>
      </c>
      <c r="B3485" s="22"/>
    </row>
    <row r="3486" spans="1:2">
      <c r="A3486" s="22" t="s">
        <v>389</v>
      </c>
      <c r="B3486" s="22"/>
    </row>
    <row r="3488" spans="1:2">
      <c r="A3488" s="19" t="s">
        <v>400</v>
      </c>
      <c r="B3488" s="19"/>
    </row>
    <row r="3490" spans="1:2">
      <c r="A3490" s="19" t="s">
        <v>2110</v>
      </c>
      <c r="B3490" s="19"/>
    </row>
    <row r="3492" spans="1:2">
      <c r="A3492" s="22" t="s">
        <v>1028</v>
      </c>
      <c r="B3492" s="22"/>
    </row>
    <row r="3494" spans="1:2">
      <c r="A3494" s="22" t="s">
        <v>1311</v>
      </c>
      <c r="B3494" s="22"/>
    </row>
    <row r="3496" spans="1:2">
      <c r="A3496" s="22" t="s">
        <v>832</v>
      </c>
      <c r="B3496" s="22"/>
    </row>
    <row r="3498" spans="1:2">
      <c r="A3498" s="19" t="s">
        <v>406</v>
      </c>
    </row>
    <row r="3500" spans="1:2">
      <c r="A3500" s="22" t="s">
        <v>407</v>
      </c>
    </row>
    <row r="3502" spans="1:2">
      <c r="A3502" s="22">
        <v>2</v>
      </c>
    </row>
    <row r="3504" spans="1:2">
      <c r="A3504" s="22" t="s">
        <v>1312</v>
      </c>
      <c r="B3504" s="22"/>
    </row>
    <row r="3506" spans="1:2">
      <c r="A3506" s="22" t="s">
        <v>1313</v>
      </c>
      <c r="B3506" s="22"/>
    </row>
    <row r="3508" spans="1:2">
      <c r="A3508" s="19" t="s">
        <v>423</v>
      </c>
    </row>
    <row r="3510" spans="1:2">
      <c r="A3510" s="19" t="s">
        <v>424</v>
      </c>
    </row>
    <row r="3512" spans="1:2">
      <c r="A3512" s="22" t="s">
        <v>407</v>
      </c>
    </row>
    <row r="3514" spans="1:2">
      <c r="A3514" s="22">
        <v>2</v>
      </c>
    </row>
    <row r="3516" spans="1:2">
      <c r="A3516" s="22" t="s">
        <v>1314</v>
      </c>
      <c r="B3516" s="22"/>
    </row>
    <row r="3518" spans="1:2">
      <c r="A3518" s="22" t="s">
        <v>712</v>
      </c>
      <c r="B3518" s="22"/>
    </row>
    <row r="3520" spans="1:2">
      <c r="A3520" s="19" t="s">
        <v>423</v>
      </c>
    </row>
    <row r="3522" spans="1:2">
      <c r="A3522" s="19" t="s">
        <v>424</v>
      </c>
    </row>
    <row r="3524" spans="1:2">
      <c r="A3524" s="22" t="s">
        <v>407</v>
      </c>
    </row>
    <row r="3526" spans="1:2">
      <c r="A3526" s="22">
        <v>2</v>
      </c>
    </row>
    <row r="3528" spans="1:2">
      <c r="A3528" s="22" t="s">
        <v>1315</v>
      </c>
      <c r="B3528" s="22"/>
    </row>
    <row r="3530" spans="1:2">
      <c r="A3530" s="22" t="s">
        <v>726</v>
      </c>
      <c r="B3530" s="22"/>
    </row>
    <row r="3532" spans="1:2">
      <c r="A3532" s="19" t="s">
        <v>423</v>
      </c>
    </row>
    <row r="3534" spans="1:2">
      <c r="A3534" s="19" t="s">
        <v>424</v>
      </c>
    </row>
    <row r="3536" spans="1:2">
      <c r="A3536" s="22" t="s">
        <v>407</v>
      </c>
    </row>
    <row r="3538" spans="1:2">
      <c r="A3538" s="22">
        <v>3</v>
      </c>
    </row>
    <row r="3540" spans="1:2">
      <c r="A3540" s="22" t="s">
        <v>1316</v>
      </c>
      <c r="B3540" s="22"/>
    </row>
    <row r="3542" spans="1:2">
      <c r="A3542" s="22" t="s">
        <v>873</v>
      </c>
      <c r="B3542" s="22"/>
    </row>
    <row r="3544" spans="1:2">
      <c r="A3544" s="19" t="s">
        <v>423</v>
      </c>
    </row>
    <row r="3546" spans="1:2">
      <c r="A3546" s="19" t="s">
        <v>424</v>
      </c>
    </row>
    <row r="3548" spans="1:2">
      <c r="A3548" s="22" t="s">
        <v>407</v>
      </c>
    </row>
    <row r="3550" spans="1:2">
      <c r="A3550" s="22">
        <v>3</v>
      </c>
    </row>
    <row r="3552" spans="1:2">
      <c r="A3552" s="22" t="s">
        <v>1317</v>
      </c>
      <c r="B3552" s="22"/>
    </row>
    <row r="3554" spans="1:2">
      <c r="A3554" s="22" t="s">
        <v>1090</v>
      </c>
      <c r="B3554" s="22"/>
    </row>
    <row r="3556" spans="1:2">
      <c r="A3556" s="19" t="s">
        <v>423</v>
      </c>
    </row>
    <row r="3558" spans="1:2">
      <c r="A3558" s="19" t="s">
        <v>424</v>
      </c>
    </row>
    <row r="3560" spans="1:2">
      <c r="A3560" s="22" t="s">
        <v>407</v>
      </c>
    </row>
    <row r="3562" spans="1:2">
      <c r="A3562" s="22">
        <v>3</v>
      </c>
    </row>
    <row r="3564" spans="1:2">
      <c r="A3564" s="22" t="s">
        <v>1318</v>
      </c>
      <c r="B3564" s="22"/>
    </row>
    <row r="3566" spans="1:2">
      <c r="A3566" s="22" t="s">
        <v>471</v>
      </c>
      <c r="B3566" s="22"/>
    </row>
    <row r="3568" spans="1:2">
      <c r="A3568" s="19" t="s">
        <v>423</v>
      </c>
    </row>
    <row r="3570" spans="1:2">
      <c r="A3570" s="19" t="s">
        <v>424</v>
      </c>
    </row>
    <row r="3572" spans="1:2">
      <c r="A3572" s="22" t="s">
        <v>407</v>
      </c>
    </row>
    <row r="3574" spans="1:2">
      <c r="A3574" s="22">
        <v>3</v>
      </c>
    </row>
    <row r="3576" spans="1:2">
      <c r="A3576" s="22" t="s">
        <v>1319</v>
      </c>
      <c r="B3576" s="22"/>
    </row>
    <row r="3578" spans="1:2">
      <c r="A3578" s="22" t="s">
        <v>471</v>
      </c>
      <c r="B3578" s="22"/>
    </row>
    <row r="3580" spans="1:2">
      <c r="A3580" s="19" t="s">
        <v>423</v>
      </c>
    </row>
    <row r="3582" spans="1:2">
      <c r="A3582" s="19" t="s">
        <v>424</v>
      </c>
    </row>
    <row r="3584" spans="1:2">
      <c r="A3584" s="22" t="s">
        <v>407</v>
      </c>
    </row>
    <row r="3586" spans="1:2">
      <c r="A3586" s="22">
        <v>3</v>
      </c>
    </row>
    <row r="3588" spans="1:2">
      <c r="A3588" s="19" t="s">
        <v>2145</v>
      </c>
      <c r="B3588" s="19"/>
    </row>
    <row r="3590" spans="1:2">
      <c r="A3590" s="22" t="s">
        <v>133</v>
      </c>
    </row>
    <row r="3591" spans="1:2">
      <c r="A3591" s="22" t="s">
        <v>131</v>
      </c>
      <c r="B3591" s="22"/>
    </row>
    <row r="3592" spans="1:2">
      <c r="A3592" s="22" t="s">
        <v>389</v>
      </c>
      <c r="B3592" s="22"/>
    </row>
    <row r="3594" spans="1:2">
      <c r="A3594" s="19" t="s">
        <v>400</v>
      </c>
      <c r="B3594" s="19"/>
    </row>
    <row r="3596" spans="1:2">
      <c r="A3596" s="19" t="s">
        <v>2110</v>
      </c>
      <c r="B3596" s="19"/>
    </row>
    <row r="3598" spans="1:2">
      <c r="A3598" s="22" t="s">
        <v>1028</v>
      </c>
      <c r="B3598" s="22"/>
    </row>
    <row r="3600" spans="1:2">
      <c r="A3600" s="22" t="s">
        <v>1320</v>
      </c>
      <c r="B3600" s="22"/>
    </row>
    <row r="3602" spans="1:2">
      <c r="A3602" s="22" t="s">
        <v>526</v>
      </c>
      <c r="B3602" s="22"/>
    </row>
    <row r="3604" spans="1:2">
      <c r="A3604" s="19" t="s">
        <v>406</v>
      </c>
    </row>
    <row r="3606" spans="1:2">
      <c r="A3606" s="22" t="s">
        <v>407</v>
      </c>
    </row>
    <row r="3608" spans="1:2">
      <c r="A3608" s="22">
        <v>2</v>
      </c>
    </row>
    <row r="3610" spans="1:2">
      <c r="A3610" s="22" t="s">
        <v>1321</v>
      </c>
      <c r="B3610" s="22"/>
    </row>
    <row r="3612" spans="1:2">
      <c r="A3612" s="22" t="s">
        <v>780</v>
      </c>
      <c r="B3612" s="22"/>
    </row>
    <row r="3614" spans="1:2">
      <c r="A3614" s="19" t="s">
        <v>423</v>
      </c>
    </row>
    <row r="3616" spans="1:2">
      <c r="A3616" s="19" t="s">
        <v>424</v>
      </c>
    </row>
    <row r="3618" spans="1:2">
      <c r="A3618" s="22" t="s">
        <v>407</v>
      </c>
    </row>
    <row r="3620" spans="1:2">
      <c r="A3620" s="22">
        <v>2</v>
      </c>
    </row>
    <row r="3622" spans="1:2">
      <c r="A3622" s="22" t="s">
        <v>1322</v>
      </c>
      <c r="B3622" s="22"/>
    </row>
    <row r="3624" spans="1:2">
      <c r="A3624" s="22" t="s">
        <v>528</v>
      </c>
      <c r="B3624" s="22"/>
    </row>
    <row r="3626" spans="1:2">
      <c r="A3626" s="19" t="s">
        <v>423</v>
      </c>
    </row>
    <row r="3628" spans="1:2">
      <c r="A3628" s="19" t="s">
        <v>424</v>
      </c>
    </row>
    <row r="3630" spans="1:2">
      <c r="A3630" s="22" t="s">
        <v>407</v>
      </c>
    </row>
    <row r="3632" spans="1:2">
      <c r="A3632" s="22">
        <v>2</v>
      </c>
    </row>
    <row r="3634" spans="1:2">
      <c r="A3634" s="22" t="s">
        <v>1323</v>
      </c>
      <c r="B3634" s="22"/>
    </row>
    <row r="3636" spans="1:2">
      <c r="A3636" s="22" t="s">
        <v>871</v>
      </c>
      <c r="B3636" s="22"/>
    </row>
    <row r="3638" spans="1:2">
      <c r="A3638" s="19" t="s">
        <v>423</v>
      </c>
    </row>
    <row r="3640" spans="1:2">
      <c r="A3640" s="19" t="s">
        <v>424</v>
      </c>
    </row>
    <row r="3642" spans="1:2">
      <c r="A3642" s="22" t="s">
        <v>407</v>
      </c>
    </row>
    <row r="3644" spans="1:2">
      <c r="A3644" s="22">
        <v>2</v>
      </c>
    </row>
    <row r="3646" spans="1:2">
      <c r="A3646" s="22" t="s">
        <v>1324</v>
      </c>
      <c r="B3646" s="22"/>
    </row>
    <row r="3648" spans="1:2">
      <c r="A3648" s="22" t="s">
        <v>432</v>
      </c>
      <c r="B3648" s="22"/>
    </row>
    <row r="3650" spans="1:2">
      <c r="A3650" s="19" t="s">
        <v>423</v>
      </c>
    </row>
    <row r="3652" spans="1:2">
      <c r="A3652" s="19" t="s">
        <v>424</v>
      </c>
    </row>
    <row r="3654" spans="1:2">
      <c r="A3654" s="22" t="s">
        <v>407</v>
      </c>
    </row>
    <row r="3656" spans="1:2">
      <c r="A3656" s="22">
        <v>3</v>
      </c>
    </row>
    <row r="3658" spans="1:2">
      <c r="A3658" s="22" t="s">
        <v>1325</v>
      </c>
      <c r="B3658" s="22"/>
    </row>
    <row r="3660" spans="1:2">
      <c r="A3660" s="22" t="s">
        <v>456</v>
      </c>
      <c r="B3660" s="22"/>
    </row>
    <row r="3662" spans="1:2">
      <c r="A3662" s="19" t="s">
        <v>423</v>
      </c>
    </row>
    <row r="3664" spans="1:2">
      <c r="A3664" s="19" t="s">
        <v>424</v>
      </c>
    </row>
    <row r="3666" spans="1:2">
      <c r="A3666" s="22" t="s">
        <v>407</v>
      </c>
    </row>
    <row r="3668" spans="1:2">
      <c r="A3668" s="22">
        <v>3</v>
      </c>
    </row>
    <row r="3670" spans="1:2">
      <c r="A3670" s="22" t="s">
        <v>1326</v>
      </c>
      <c r="B3670" s="22"/>
    </row>
    <row r="3672" spans="1:2">
      <c r="A3672" s="22" t="s">
        <v>788</v>
      </c>
      <c r="B3672" s="22"/>
    </row>
    <row r="3674" spans="1:2">
      <c r="A3674" s="19" t="s">
        <v>423</v>
      </c>
    </row>
    <row r="3676" spans="1:2">
      <c r="A3676" s="19" t="s">
        <v>424</v>
      </c>
    </row>
    <row r="3678" spans="1:2">
      <c r="A3678" s="22" t="s">
        <v>407</v>
      </c>
    </row>
    <row r="3680" spans="1:2">
      <c r="A3680" s="22">
        <v>3</v>
      </c>
    </row>
    <row r="3682" spans="1:2">
      <c r="A3682" s="22" t="s">
        <v>1327</v>
      </c>
      <c r="B3682" s="22"/>
    </row>
    <row r="3684" spans="1:2">
      <c r="A3684" s="22" t="s">
        <v>1124</v>
      </c>
      <c r="B3684" s="22"/>
    </row>
    <row r="3686" spans="1:2">
      <c r="A3686" s="19" t="s">
        <v>423</v>
      </c>
    </row>
    <row r="3688" spans="1:2">
      <c r="A3688" s="19" t="s">
        <v>424</v>
      </c>
    </row>
    <row r="3690" spans="1:2">
      <c r="A3690" s="22" t="s">
        <v>407</v>
      </c>
    </row>
    <row r="3692" spans="1:2">
      <c r="A3692" s="22">
        <v>2</v>
      </c>
    </row>
    <row r="3694" spans="1:2">
      <c r="A3694" s="19" t="s">
        <v>2146</v>
      </c>
      <c r="B3694" s="19"/>
    </row>
    <row r="3696" spans="1:2">
      <c r="A3696" s="22" t="s">
        <v>133</v>
      </c>
    </row>
    <row r="3697" spans="1:2">
      <c r="A3697" s="22" t="s">
        <v>131</v>
      </c>
      <c r="B3697" s="22"/>
    </row>
    <row r="3698" spans="1:2">
      <c r="A3698" s="22" t="s">
        <v>389</v>
      </c>
      <c r="B3698" s="22"/>
    </row>
    <row r="3700" spans="1:2">
      <c r="A3700" s="19" t="s">
        <v>400</v>
      </c>
      <c r="B3700" s="19"/>
    </row>
    <row r="3702" spans="1:2">
      <c r="A3702" s="19" t="s">
        <v>2110</v>
      </c>
      <c r="B3702" s="19"/>
    </row>
    <row r="3704" spans="1:2">
      <c r="A3704" s="22" t="s">
        <v>1028</v>
      </c>
      <c r="B3704" s="22"/>
    </row>
    <row r="3706" spans="1:2">
      <c r="A3706" s="22" t="s">
        <v>1328</v>
      </c>
      <c r="B3706" s="22"/>
    </row>
    <row r="3708" spans="1:2">
      <c r="A3708" s="22" t="s">
        <v>1329</v>
      </c>
      <c r="B3708" s="22"/>
    </row>
    <row r="3710" spans="1:2">
      <c r="A3710" s="19" t="s">
        <v>406</v>
      </c>
    </row>
    <row r="3712" spans="1:2">
      <c r="A3712" s="22" t="s">
        <v>407</v>
      </c>
    </row>
    <row r="3714" spans="1:2">
      <c r="A3714" s="22">
        <v>2</v>
      </c>
    </row>
    <row r="3716" spans="1:2">
      <c r="A3716" s="22" t="s">
        <v>1330</v>
      </c>
      <c r="B3716" s="22"/>
    </row>
    <row r="3718" spans="1:2">
      <c r="A3718" s="22" t="s">
        <v>534</v>
      </c>
      <c r="B3718" s="22"/>
    </row>
    <row r="3720" spans="1:2">
      <c r="A3720" s="19" t="s">
        <v>423</v>
      </c>
    </row>
    <row r="3722" spans="1:2">
      <c r="A3722" s="19" t="s">
        <v>424</v>
      </c>
    </row>
    <row r="3724" spans="1:2">
      <c r="A3724" s="22" t="s">
        <v>407</v>
      </c>
    </row>
    <row r="3726" spans="1:2">
      <c r="A3726" s="22">
        <v>2</v>
      </c>
    </row>
    <row r="3728" spans="1:2">
      <c r="A3728" s="22" t="s">
        <v>1331</v>
      </c>
      <c r="B3728" s="22"/>
    </row>
    <row r="3730" spans="1:2">
      <c r="A3730" s="22" t="s">
        <v>735</v>
      </c>
      <c r="B3730" s="22"/>
    </row>
    <row r="3732" spans="1:2">
      <c r="A3732" s="19" t="s">
        <v>423</v>
      </c>
    </row>
    <row r="3734" spans="1:2">
      <c r="A3734" s="19" t="s">
        <v>424</v>
      </c>
    </row>
    <row r="3736" spans="1:2">
      <c r="A3736" s="22" t="s">
        <v>407</v>
      </c>
    </row>
    <row r="3738" spans="1:2">
      <c r="A3738" s="22">
        <v>2</v>
      </c>
    </row>
    <row r="3740" spans="1:2">
      <c r="A3740" s="22" t="s">
        <v>1332</v>
      </c>
      <c r="B3740" s="22"/>
    </row>
    <row r="3742" spans="1:2">
      <c r="A3742" s="22" t="s">
        <v>460</v>
      </c>
      <c r="B3742" s="22"/>
    </row>
    <row r="3744" spans="1:2">
      <c r="A3744" s="19" t="s">
        <v>423</v>
      </c>
    </row>
    <row r="3746" spans="1:2">
      <c r="A3746" s="19" t="s">
        <v>424</v>
      </c>
    </row>
    <row r="3748" spans="1:2">
      <c r="A3748" s="22" t="s">
        <v>407</v>
      </c>
    </row>
    <row r="3750" spans="1:2">
      <c r="A3750" s="22">
        <v>8</v>
      </c>
    </row>
    <row r="3752" spans="1:2">
      <c r="A3752" s="22" t="s">
        <v>1333</v>
      </c>
      <c r="B3752" s="22"/>
    </row>
    <row r="3754" spans="1:2">
      <c r="A3754" s="22" t="s">
        <v>460</v>
      </c>
      <c r="B3754" s="22"/>
    </row>
    <row r="3756" spans="1:2">
      <c r="A3756" s="19" t="s">
        <v>423</v>
      </c>
    </row>
    <row r="3758" spans="1:2">
      <c r="A3758" s="19" t="s">
        <v>424</v>
      </c>
    </row>
    <row r="3760" spans="1:2">
      <c r="A3760" s="22" t="s">
        <v>407</v>
      </c>
    </row>
    <row r="3762" spans="1:2">
      <c r="A3762" s="22">
        <v>6</v>
      </c>
    </row>
    <row r="3764" spans="1:2">
      <c r="A3764" s="22" t="s">
        <v>1334</v>
      </c>
      <c r="B3764" s="22"/>
    </row>
    <row r="3766" spans="1:2">
      <c r="A3766" s="22" t="s">
        <v>460</v>
      </c>
      <c r="B3766" s="22"/>
    </row>
    <row r="3768" spans="1:2">
      <c r="A3768" s="19" t="s">
        <v>423</v>
      </c>
    </row>
    <row r="3770" spans="1:2">
      <c r="A3770" s="19" t="s">
        <v>424</v>
      </c>
    </row>
    <row r="3772" spans="1:2">
      <c r="A3772" s="22" t="s">
        <v>407</v>
      </c>
    </row>
    <row r="3774" spans="1:2">
      <c r="A3774" s="22">
        <v>6</v>
      </c>
    </row>
    <row r="3776" spans="1:2">
      <c r="A3776" s="22" t="s">
        <v>1335</v>
      </c>
      <c r="B3776" s="22"/>
    </row>
    <row r="3778" spans="1:2">
      <c r="A3778" s="22" t="s">
        <v>1248</v>
      </c>
      <c r="B3778" s="22"/>
    </row>
    <row r="3780" spans="1:2">
      <c r="A3780" s="19" t="s">
        <v>423</v>
      </c>
    </row>
    <row r="3782" spans="1:2">
      <c r="A3782" s="19" t="s">
        <v>424</v>
      </c>
    </row>
    <row r="3784" spans="1:2">
      <c r="A3784" s="22" t="s">
        <v>407</v>
      </c>
    </row>
    <row r="3786" spans="1:2">
      <c r="A3786" s="22">
        <v>3</v>
      </c>
    </row>
    <row r="3788" spans="1:2">
      <c r="A3788" s="22" t="s">
        <v>1336</v>
      </c>
      <c r="B3788" s="22"/>
    </row>
    <row r="3790" spans="1:2">
      <c r="A3790" s="22" t="s">
        <v>538</v>
      </c>
      <c r="B3790" s="22"/>
    </row>
    <row r="3792" spans="1:2">
      <c r="A3792" s="19" t="s">
        <v>423</v>
      </c>
    </row>
    <row r="3794" spans="1:2">
      <c r="A3794" s="19" t="s">
        <v>424</v>
      </c>
    </row>
    <row r="3796" spans="1:2">
      <c r="A3796" s="22" t="s">
        <v>407</v>
      </c>
    </row>
    <row r="3798" spans="1:2">
      <c r="A3798" s="22">
        <v>2</v>
      </c>
    </row>
    <row r="3800" spans="1:2">
      <c r="A3800" s="19" t="s">
        <v>2147</v>
      </c>
      <c r="B3800" s="19"/>
    </row>
    <row r="3802" spans="1:2">
      <c r="A3802" s="22" t="s">
        <v>133</v>
      </c>
    </row>
    <row r="3803" spans="1:2">
      <c r="A3803" s="22" t="s">
        <v>131</v>
      </c>
      <c r="B3803" s="22"/>
    </row>
    <row r="3804" spans="1:2">
      <c r="A3804" s="22" t="s">
        <v>389</v>
      </c>
      <c r="B3804" s="22"/>
    </row>
    <row r="3806" spans="1:2">
      <c r="A3806" s="19" t="s">
        <v>400</v>
      </c>
      <c r="B3806" s="19"/>
    </row>
    <row r="3808" spans="1:2">
      <c r="A3808" s="19" t="s">
        <v>2110</v>
      </c>
      <c r="B3808" s="19"/>
    </row>
    <row r="3810" spans="1:2">
      <c r="A3810" s="22" t="s">
        <v>1028</v>
      </c>
      <c r="B3810" s="22"/>
    </row>
    <row r="3812" spans="1:2">
      <c r="A3812" s="22" t="s">
        <v>1337</v>
      </c>
      <c r="B3812" s="22"/>
    </row>
    <row r="3814" spans="1:2">
      <c r="A3814" s="22" t="s">
        <v>485</v>
      </c>
      <c r="B3814" s="22"/>
    </row>
    <row r="3816" spans="1:2">
      <c r="A3816" s="19" t="s">
        <v>406</v>
      </c>
    </row>
    <row r="3818" spans="1:2">
      <c r="A3818" s="22" t="s">
        <v>407</v>
      </c>
    </row>
    <row r="3820" spans="1:2">
      <c r="A3820" s="22">
        <v>2</v>
      </c>
    </row>
    <row r="3822" spans="1:2">
      <c r="A3822" s="22" t="s">
        <v>1338</v>
      </c>
      <c r="B3822" s="22"/>
    </row>
    <row r="3824" spans="1:2">
      <c r="A3824" s="22" t="s">
        <v>641</v>
      </c>
      <c r="B3824" s="22"/>
    </row>
    <row r="3826" spans="1:2">
      <c r="A3826" s="19" t="s">
        <v>423</v>
      </c>
    </row>
    <row r="3828" spans="1:2">
      <c r="A3828" s="19" t="s">
        <v>424</v>
      </c>
    </row>
    <row r="3830" spans="1:2">
      <c r="A3830" s="22" t="s">
        <v>407</v>
      </c>
    </row>
    <row r="3832" spans="1:2">
      <c r="A3832" s="22">
        <v>2</v>
      </c>
    </row>
    <row r="3834" spans="1:2">
      <c r="A3834" s="22" t="s">
        <v>1339</v>
      </c>
      <c r="B3834" s="22"/>
    </row>
    <row r="3836" spans="1:2">
      <c r="A3836" s="22" t="s">
        <v>458</v>
      </c>
      <c r="B3836" s="22"/>
    </row>
    <row r="3838" spans="1:2">
      <c r="A3838" s="19" t="s">
        <v>423</v>
      </c>
    </row>
    <row r="3840" spans="1:2">
      <c r="A3840" s="19" t="s">
        <v>424</v>
      </c>
    </row>
    <row r="3842" spans="1:2">
      <c r="A3842" s="22" t="s">
        <v>407</v>
      </c>
    </row>
    <row r="3844" spans="1:2">
      <c r="A3844" s="22">
        <v>4</v>
      </c>
    </row>
    <row r="3846" spans="1:2">
      <c r="A3846" s="22" t="s">
        <v>1340</v>
      </c>
      <c r="B3846" s="22"/>
    </row>
    <row r="3848" spans="1:2">
      <c r="A3848" s="22" t="s">
        <v>741</v>
      </c>
      <c r="B3848" s="22"/>
    </row>
    <row r="3850" spans="1:2">
      <c r="A3850" s="19" t="s">
        <v>423</v>
      </c>
    </row>
    <row r="3852" spans="1:2">
      <c r="A3852" s="19" t="s">
        <v>424</v>
      </c>
    </row>
    <row r="3854" spans="1:2">
      <c r="A3854" s="22" t="s">
        <v>407</v>
      </c>
    </row>
    <row r="3856" spans="1:2">
      <c r="A3856" s="22">
        <v>3</v>
      </c>
    </row>
    <row r="3858" spans="1:2">
      <c r="A3858" s="22" t="s">
        <v>1341</v>
      </c>
      <c r="B3858" s="22"/>
    </row>
    <row r="3860" spans="1:2">
      <c r="A3860" s="22" t="s">
        <v>741</v>
      </c>
      <c r="B3860" s="22"/>
    </row>
    <row r="3862" spans="1:2">
      <c r="A3862" s="19" t="s">
        <v>423</v>
      </c>
    </row>
    <row r="3864" spans="1:2">
      <c r="A3864" s="19" t="s">
        <v>424</v>
      </c>
    </row>
    <row r="3866" spans="1:2">
      <c r="A3866" s="22" t="s">
        <v>407</v>
      </c>
    </row>
    <row r="3868" spans="1:2">
      <c r="A3868" s="22">
        <v>3</v>
      </c>
    </row>
    <row r="3870" spans="1:2">
      <c r="A3870" s="22" t="s">
        <v>1342</v>
      </c>
      <c r="B3870" s="22"/>
    </row>
    <row r="3872" spans="1:2">
      <c r="A3872" s="22" t="s">
        <v>542</v>
      </c>
      <c r="B3872" s="22"/>
    </row>
    <row r="3874" spans="1:2">
      <c r="A3874" s="19" t="s">
        <v>423</v>
      </c>
    </row>
    <row r="3876" spans="1:2">
      <c r="A3876" s="19" t="s">
        <v>424</v>
      </c>
    </row>
    <row r="3878" spans="1:2">
      <c r="A3878" s="22" t="s">
        <v>407</v>
      </c>
    </row>
    <row r="3880" spans="1:2">
      <c r="A3880" s="22">
        <v>3</v>
      </c>
    </row>
    <row r="3882" spans="1:2">
      <c r="A3882" s="22" t="s">
        <v>1343</v>
      </c>
      <c r="B3882" s="22"/>
    </row>
    <row r="3884" spans="1:2">
      <c r="A3884" s="22" t="s">
        <v>523</v>
      </c>
      <c r="B3884" s="22"/>
    </row>
    <row r="3886" spans="1:2">
      <c r="A3886" s="19" t="s">
        <v>423</v>
      </c>
    </row>
    <row r="3888" spans="1:2">
      <c r="A3888" s="19" t="s">
        <v>424</v>
      </c>
    </row>
    <row r="3890" spans="1:2">
      <c r="A3890" s="22" t="s">
        <v>407</v>
      </c>
    </row>
    <row r="3892" spans="1:2">
      <c r="A3892" s="22">
        <v>3</v>
      </c>
    </row>
    <row r="3894" spans="1:2">
      <c r="A3894" s="22" t="s">
        <v>1344</v>
      </c>
      <c r="B3894" s="22"/>
    </row>
    <row r="3896" spans="1:2">
      <c r="A3896" s="22" t="s">
        <v>770</v>
      </c>
      <c r="B3896" s="22"/>
    </row>
    <row r="3898" spans="1:2">
      <c r="A3898" s="19" t="s">
        <v>423</v>
      </c>
    </row>
    <row r="3900" spans="1:2">
      <c r="A3900" s="19" t="s">
        <v>424</v>
      </c>
    </row>
    <row r="3902" spans="1:2">
      <c r="A3902" s="22" t="s">
        <v>407</v>
      </c>
    </row>
    <row r="3904" spans="1:2">
      <c r="A3904" s="22">
        <v>2</v>
      </c>
    </row>
    <row r="3906" spans="1:2">
      <c r="A3906" s="19" t="s">
        <v>2148</v>
      </c>
      <c r="B3906" s="19"/>
    </row>
    <row r="3908" spans="1:2">
      <c r="A3908" s="22" t="s">
        <v>133</v>
      </c>
    </row>
    <row r="3909" spans="1:2">
      <c r="A3909" s="22" t="s">
        <v>131</v>
      </c>
      <c r="B3909" s="22"/>
    </row>
    <row r="3910" spans="1:2">
      <c r="A3910" s="22" t="s">
        <v>389</v>
      </c>
      <c r="B3910" s="22"/>
    </row>
    <row r="3912" spans="1:2">
      <c r="A3912" s="19" t="s">
        <v>400</v>
      </c>
      <c r="B3912" s="19"/>
    </row>
    <row r="3914" spans="1:2">
      <c r="A3914" s="19" t="s">
        <v>2110</v>
      </c>
      <c r="B3914" s="19"/>
    </row>
    <row r="3916" spans="1:2">
      <c r="A3916" s="22" t="s">
        <v>1028</v>
      </c>
      <c r="B3916" s="22"/>
    </row>
    <row r="3918" spans="1:2">
      <c r="A3918" s="22" t="s">
        <v>1345</v>
      </c>
      <c r="B3918" s="22"/>
    </row>
    <row r="3920" spans="1:2">
      <c r="A3920" s="22" t="s">
        <v>550</v>
      </c>
      <c r="B3920" s="22"/>
    </row>
    <row r="3922" spans="1:2">
      <c r="A3922" s="19" t="s">
        <v>406</v>
      </c>
    </row>
    <row r="3924" spans="1:2">
      <c r="A3924" s="22" t="s">
        <v>407</v>
      </c>
    </row>
    <row r="3926" spans="1:2">
      <c r="A3926" s="22">
        <v>2</v>
      </c>
    </row>
    <row r="3928" spans="1:2">
      <c r="A3928" s="22" t="s">
        <v>1346</v>
      </c>
      <c r="B3928" s="22"/>
    </row>
    <row r="3930" spans="1:2">
      <c r="A3930" s="22" t="s">
        <v>1347</v>
      </c>
      <c r="B3930" s="22"/>
    </row>
    <row r="3932" spans="1:2">
      <c r="A3932" s="19" t="s">
        <v>423</v>
      </c>
    </row>
    <row r="3934" spans="1:2">
      <c r="A3934" s="19" t="s">
        <v>424</v>
      </c>
    </row>
    <row r="3936" spans="1:2">
      <c r="A3936" s="22" t="s">
        <v>407</v>
      </c>
    </row>
    <row r="3938" spans="1:2">
      <c r="A3938" s="22">
        <v>4</v>
      </c>
    </row>
    <row r="3940" spans="1:2">
      <c r="A3940" s="22" t="s">
        <v>1348</v>
      </c>
      <c r="B3940" s="22"/>
    </row>
    <row r="3942" spans="1:2">
      <c r="A3942" s="22" t="s">
        <v>652</v>
      </c>
      <c r="B3942" s="22"/>
    </row>
    <row r="3944" spans="1:2">
      <c r="A3944" s="19" t="s">
        <v>423</v>
      </c>
    </row>
    <row r="3946" spans="1:2">
      <c r="A3946" s="19" t="s">
        <v>424</v>
      </c>
    </row>
    <row r="3948" spans="1:2">
      <c r="A3948" s="22" t="s">
        <v>407</v>
      </c>
    </row>
    <row r="3950" spans="1:2">
      <c r="A3950" s="22">
        <v>2</v>
      </c>
    </row>
    <row r="3952" spans="1:2">
      <c r="A3952" s="22" t="s">
        <v>1349</v>
      </c>
      <c r="B3952" s="22"/>
    </row>
    <row r="3954" spans="1:2">
      <c r="A3954" s="22" t="s">
        <v>409</v>
      </c>
      <c r="B3954" s="22"/>
    </row>
    <row r="3956" spans="1:2">
      <c r="A3956" s="19" t="s">
        <v>423</v>
      </c>
    </row>
    <row r="3958" spans="1:2">
      <c r="A3958" s="19" t="s">
        <v>424</v>
      </c>
    </row>
    <row r="3960" spans="1:2">
      <c r="A3960" s="22" t="s">
        <v>407</v>
      </c>
    </row>
    <row r="3962" spans="1:2">
      <c r="A3962" s="22">
        <v>2</v>
      </c>
    </row>
    <row r="3964" spans="1:2">
      <c r="A3964" s="22" t="s">
        <v>1350</v>
      </c>
      <c r="B3964" s="22"/>
    </row>
    <row r="3966" spans="1:2">
      <c r="A3966" s="22" t="s">
        <v>557</v>
      </c>
      <c r="B3966" s="22"/>
    </row>
    <row r="3968" spans="1:2">
      <c r="A3968" s="19" t="s">
        <v>423</v>
      </c>
    </row>
    <row r="3970" spans="1:2">
      <c r="A3970" s="19" t="s">
        <v>424</v>
      </c>
    </row>
    <row r="3972" spans="1:2">
      <c r="A3972" s="22" t="s">
        <v>407</v>
      </c>
    </row>
    <row r="3974" spans="1:2">
      <c r="A3974" s="22">
        <v>2</v>
      </c>
    </row>
    <row r="3976" spans="1:2">
      <c r="A3976" s="22" t="s">
        <v>1351</v>
      </c>
      <c r="B3976" s="22"/>
    </row>
    <row r="3978" spans="1:2">
      <c r="A3978" s="22" t="s">
        <v>560</v>
      </c>
      <c r="B3978" s="22"/>
    </row>
    <row r="3980" spans="1:2">
      <c r="A3980" s="19" t="s">
        <v>423</v>
      </c>
    </row>
    <row r="3982" spans="1:2">
      <c r="A3982" s="19" t="s">
        <v>424</v>
      </c>
    </row>
    <row r="3984" spans="1:2">
      <c r="A3984" s="22" t="s">
        <v>407</v>
      </c>
    </row>
    <row r="3986" spans="1:2">
      <c r="A3986" s="22">
        <v>3</v>
      </c>
    </row>
    <row r="3988" spans="1:2">
      <c r="A3988" s="22" t="s">
        <v>1352</v>
      </c>
      <c r="B3988" s="22"/>
    </row>
    <row r="3990" spans="1:2">
      <c r="A3990" s="22" t="s">
        <v>679</v>
      </c>
      <c r="B3990" s="22"/>
    </row>
    <row r="3992" spans="1:2">
      <c r="A3992" s="19" t="s">
        <v>423</v>
      </c>
    </row>
    <row r="3994" spans="1:2">
      <c r="A3994" s="19" t="s">
        <v>424</v>
      </c>
    </row>
    <row r="3996" spans="1:2">
      <c r="A3996" s="22" t="s">
        <v>407</v>
      </c>
    </row>
    <row r="3998" spans="1:2">
      <c r="A3998" s="22">
        <v>2</v>
      </c>
    </row>
    <row r="4000" spans="1:2">
      <c r="A4000" s="22" t="s">
        <v>1353</v>
      </c>
      <c r="B4000" s="22"/>
    </row>
    <row r="4002" spans="1:2">
      <c r="A4002" s="22" t="s">
        <v>422</v>
      </c>
      <c r="B4002" s="22"/>
    </row>
    <row r="4004" spans="1:2">
      <c r="A4004" s="19" t="s">
        <v>423</v>
      </c>
    </row>
    <row r="4006" spans="1:2">
      <c r="A4006" s="19" t="s">
        <v>424</v>
      </c>
    </row>
    <row r="4008" spans="1:2">
      <c r="A4008" s="22" t="s">
        <v>407</v>
      </c>
    </row>
    <row r="4010" spans="1:2">
      <c r="A4010" s="22">
        <v>1</v>
      </c>
    </row>
    <row r="4012" spans="1:2">
      <c r="A4012" s="19" t="s">
        <v>2149</v>
      </c>
      <c r="B4012" s="19"/>
    </row>
    <row r="4014" spans="1:2">
      <c r="A4014" s="22" t="s">
        <v>133</v>
      </c>
    </row>
    <row r="4015" spans="1:2">
      <c r="A4015" s="22" t="s">
        <v>131</v>
      </c>
      <c r="B4015" s="22"/>
    </row>
    <row r="4016" spans="1:2">
      <c r="A4016" s="22" t="s">
        <v>389</v>
      </c>
      <c r="B4016" s="22"/>
    </row>
    <row r="4018" spans="1:2">
      <c r="A4018" s="19" t="s">
        <v>400</v>
      </c>
      <c r="B4018" s="19"/>
    </row>
    <row r="4020" spans="1:2">
      <c r="A4020" s="19" t="s">
        <v>2110</v>
      </c>
      <c r="B4020" s="19"/>
    </row>
    <row r="4022" spans="1:2">
      <c r="A4022" s="22" t="s">
        <v>1028</v>
      </c>
      <c r="B4022" s="22"/>
    </row>
    <row r="4024" spans="1:2">
      <c r="A4024" s="22" t="s">
        <v>1354</v>
      </c>
      <c r="B4024" s="22"/>
    </row>
    <row r="4026" spans="1:2">
      <c r="A4026" s="22" t="s">
        <v>430</v>
      </c>
      <c r="B4026" s="22"/>
    </row>
    <row r="4028" spans="1:2">
      <c r="A4028" s="19" t="s">
        <v>406</v>
      </c>
    </row>
    <row r="4030" spans="1:2">
      <c r="A4030" s="22" t="s">
        <v>407</v>
      </c>
    </row>
    <row r="4032" spans="1:2">
      <c r="A4032" s="22">
        <v>1</v>
      </c>
    </row>
    <row r="4034" spans="1:2">
      <c r="A4034" s="22" t="s">
        <v>1355</v>
      </c>
      <c r="B4034" s="22"/>
    </row>
    <row r="4036" spans="1:2">
      <c r="A4036" s="22" t="s">
        <v>428</v>
      </c>
      <c r="B4036" s="22"/>
    </row>
    <row r="4038" spans="1:2">
      <c r="A4038" s="19" t="s">
        <v>423</v>
      </c>
    </row>
    <row r="4040" spans="1:2">
      <c r="A4040" s="19" t="s">
        <v>424</v>
      </c>
    </row>
    <row r="4042" spans="1:2">
      <c r="A4042" s="22" t="s">
        <v>407</v>
      </c>
    </row>
    <row r="4044" spans="1:2">
      <c r="A4044" s="22">
        <v>2</v>
      </c>
    </row>
    <row r="4046" spans="1:2">
      <c r="A4046" s="22" t="s">
        <v>1356</v>
      </c>
      <c r="B4046" s="22"/>
    </row>
    <row r="4048" spans="1:2">
      <c r="A4048" s="22" t="s">
        <v>422</v>
      </c>
      <c r="B4048" s="22"/>
    </row>
    <row r="4050" spans="1:2">
      <c r="A4050" s="19" t="s">
        <v>423</v>
      </c>
    </row>
    <row r="4052" spans="1:2">
      <c r="A4052" s="19" t="s">
        <v>424</v>
      </c>
    </row>
    <row r="4054" spans="1:2">
      <c r="A4054" s="22" t="s">
        <v>407</v>
      </c>
    </row>
    <row r="4056" spans="1:2">
      <c r="A4056" s="22">
        <v>2</v>
      </c>
    </row>
    <row r="4058" spans="1:2">
      <c r="A4058" s="22" t="s">
        <v>1357</v>
      </c>
      <c r="B4058" s="22"/>
    </row>
    <row r="4060" spans="1:2">
      <c r="A4060" s="22" t="s">
        <v>1096</v>
      </c>
      <c r="B4060" s="22"/>
    </row>
    <row r="4062" spans="1:2">
      <c r="A4062" s="19" t="s">
        <v>423</v>
      </c>
    </row>
    <row r="4064" spans="1:2">
      <c r="A4064" s="19" t="s">
        <v>424</v>
      </c>
    </row>
    <row r="4066" spans="1:2">
      <c r="A4066" s="22" t="s">
        <v>407</v>
      </c>
    </row>
    <row r="4068" spans="1:2">
      <c r="A4068" s="22">
        <v>3</v>
      </c>
    </row>
    <row r="4070" spans="1:2">
      <c r="A4070" s="22" t="s">
        <v>1358</v>
      </c>
      <c r="B4070" s="22"/>
    </row>
    <row r="4072" spans="1:2">
      <c r="A4072" s="22" t="s">
        <v>430</v>
      </c>
      <c r="B4072" s="22"/>
    </row>
    <row r="4074" spans="1:2">
      <c r="A4074" s="19" t="s">
        <v>423</v>
      </c>
    </row>
    <row r="4076" spans="1:2">
      <c r="A4076" s="19" t="s">
        <v>424</v>
      </c>
    </row>
    <row r="4078" spans="1:2">
      <c r="A4078" s="22" t="s">
        <v>407</v>
      </c>
    </row>
    <row r="4080" spans="1:2">
      <c r="A4080" s="22">
        <v>2</v>
      </c>
    </row>
    <row r="4082" spans="1:2">
      <c r="A4082" s="22" t="s">
        <v>1359</v>
      </c>
      <c r="B4082" s="22"/>
    </row>
    <row r="4084" spans="1:2">
      <c r="A4084" s="22" t="s">
        <v>1056</v>
      </c>
      <c r="B4084" s="22"/>
    </row>
    <row r="4086" spans="1:2">
      <c r="A4086" s="19" t="s">
        <v>423</v>
      </c>
    </row>
    <row r="4088" spans="1:2">
      <c r="A4088" s="19" t="s">
        <v>424</v>
      </c>
    </row>
    <row r="4090" spans="1:2">
      <c r="A4090" s="22" t="s">
        <v>407</v>
      </c>
    </row>
    <row r="4092" spans="1:2">
      <c r="A4092" s="22">
        <v>2</v>
      </c>
    </row>
    <row r="4094" spans="1:2">
      <c r="A4094" s="22" t="s">
        <v>1360</v>
      </c>
      <c r="B4094" s="22"/>
    </row>
    <row r="4096" spans="1:2">
      <c r="A4096" s="22" t="s">
        <v>428</v>
      </c>
      <c r="B4096" s="22"/>
    </row>
    <row r="4098" spans="1:2">
      <c r="A4098" s="19" t="s">
        <v>423</v>
      </c>
    </row>
    <row r="4100" spans="1:2">
      <c r="A4100" s="19" t="s">
        <v>424</v>
      </c>
    </row>
    <row r="4102" spans="1:2">
      <c r="A4102" s="22" t="s">
        <v>407</v>
      </c>
    </row>
    <row r="4104" spans="1:2">
      <c r="A4104" s="22">
        <v>3</v>
      </c>
    </row>
    <row r="4106" spans="1:2">
      <c r="A4106" s="22" t="s">
        <v>1361</v>
      </c>
      <c r="B4106" s="22"/>
    </row>
    <row r="4108" spans="1:2">
      <c r="A4108" s="22" t="s">
        <v>1092</v>
      </c>
      <c r="B4108" s="22"/>
    </row>
    <row r="4110" spans="1:2">
      <c r="A4110" s="19" t="s">
        <v>423</v>
      </c>
    </row>
    <row r="4112" spans="1:2">
      <c r="A4112" s="19" t="s">
        <v>424</v>
      </c>
    </row>
    <row r="4114" spans="1:2">
      <c r="A4114" s="22" t="s">
        <v>407</v>
      </c>
    </row>
    <row r="4116" spans="1:2">
      <c r="A4116" s="22">
        <v>2</v>
      </c>
    </row>
    <row r="4118" spans="1:2">
      <c r="A4118" s="19" t="s">
        <v>2150</v>
      </c>
      <c r="B4118" s="19"/>
    </row>
    <row r="4120" spans="1:2">
      <c r="A4120" s="22" t="s">
        <v>133</v>
      </c>
    </row>
    <row r="4121" spans="1:2">
      <c r="A4121" s="22" t="s">
        <v>131</v>
      </c>
      <c r="B4121" s="22"/>
    </row>
    <row r="4122" spans="1:2">
      <c r="A4122" s="22" t="s">
        <v>389</v>
      </c>
      <c r="B4122" s="22"/>
    </row>
    <row r="4124" spans="1:2">
      <c r="A4124" s="19" t="s">
        <v>400</v>
      </c>
      <c r="B4124" s="19"/>
    </row>
    <row r="4126" spans="1:2">
      <c r="A4126" s="19" t="s">
        <v>2110</v>
      </c>
      <c r="B4126" s="19"/>
    </row>
    <row r="4128" spans="1:2">
      <c r="A4128" s="22" t="s">
        <v>1028</v>
      </c>
      <c r="B4128" s="22"/>
    </row>
    <row r="4130" spans="1:2">
      <c r="A4130" s="22" t="s">
        <v>1362</v>
      </c>
      <c r="B4130" s="22"/>
    </row>
    <row r="4132" spans="1:2">
      <c r="A4132" s="22" t="s">
        <v>418</v>
      </c>
      <c r="B4132" s="22"/>
    </row>
    <row r="4134" spans="1:2">
      <c r="A4134" s="19" t="s">
        <v>406</v>
      </c>
    </row>
    <row r="4136" spans="1:2">
      <c r="A4136" s="22" t="s">
        <v>407</v>
      </c>
    </row>
    <row r="4138" spans="1:2">
      <c r="A4138" s="22">
        <v>3</v>
      </c>
    </row>
    <row r="4140" spans="1:2">
      <c r="A4140" s="22" t="s">
        <v>1363</v>
      </c>
      <c r="B4140" s="22"/>
    </row>
    <row r="4142" spans="1:2">
      <c r="A4142" s="22" t="s">
        <v>495</v>
      </c>
      <c r="B4142" s="22"/>
    </row>
    <row r="4144" spans="1:2">
      <c r="A4144" s="19" t="s">
        <v>423</v>
      </c>
    </row>
    <row r="4146" spans="1:2">
      <c r="A4146" s="19" t="s">
        <v>424</v>
      </c>
    </row>
    <row r="4148" spans="1:2">
      <c r="A4148" s="22" t="s">
        <v>407</v>
      </c>
    </row>
    <row r="4150" spans="1:2">
      <c r="A4150" s="22">
        <v>6</v>
      </c>
    </row>
    <row r="4152" spans="1:2">
      <c r="A4152" s="22" t="s">
        <v>1364</v>
      </c>
      <c r="B4152" s="22"/>
    </row>
    <row r="4154" spans="1:2">
      <c r="A4154" s="22" t="s">
        <v>495</v>
      </c>
      <c r="B4154" s="22"/>
    </row>
    <row r="4156" spans="1:2">
      <c r="A4156" s="19" t="s">
        <v>423</v>
      </c>
    </row>
    <row r="4158" spans="1:2">
      <c r="A4158" s="19" t="s">
        <v>424</v>
      </c>
    </row>
    <row r="4160" spans="1:2">
      <c r="A4160" s="22" t="s">
        <v>407</v>
      </c>
    </row>
    <row r="4162" spans="1:2">
      <c r="A4162" s="22">
        <v>6</v>
      </c>
    </row>
    <row r="4164" spans="1:2">
      <c r="A4164" s="22" t="s">
        <v>1365</v>
      </c>
      <c r="B4164" s="22"/>
    </row>
    <row r="4166" spans="1:2">
      <c r="A4166" s="22" t="s">
        <v>444</v>
      </c>
      <c r="B4166" s="22"/>
    </row>
    <row r="4168" spans="1:2">
      <c r="A4168" s="19" t="s">
        <v>423</v>
      </c>
    </row>
    <row r="4170" spans="1:2">
      <c r="A4170" s="19" t="s">
        <v>424</v>
      </c>
    </row>
    <row r="4172" spans="1:2">
      <c r="A4172" s="22" t="s">
        <v>407</v>
      </c>
    </row>
    <row r="4174" spans="1:2">
      <c r="A4174" s="22">
        <v>6</v>
      </c>
    </row>
    <row r="4176" spans="1:2">
      <c r="A4176" s="22" t="s">
        <v>1366</v>
      </c>
      <c r="B4176" s="22"/>
    </row>
    <row r="4178" spans="1:2">
      <c r="A4178" s="22" t="s">
        <v>444</v>
      </c>
      <c r="B4178" s="22"/>
    </row>
    <row r="4180" spans="1:2">
      <c r="A4180" s="19" t="s">
        <v>423</v>
      </c>
    </row>
    <row r="4182" spans="1:2">
      <c r="A4182" s="19" t="s">
        <v>424</v>
      </c>
    </row>
    <row r="4184" spans="1:2">
      <c r="A4184" s="22" t="s">
        <v>407</v>
      </c>
    </row>
    <row r="4186" spans="1:2">
      <c r="A4186" s="22">
        <v>6</v>
      </c>
    </row>
    <row r="4188" spans="1:2">
      <c r="A4188" s="22" t="s">
        <v>1367</v>
      </c>
      <c r="B4188" s="22"/>
    </row>
    <row r="4190" spans="1:2">
      <c r="A4190" s="22" t="s">
        <v>548</v>
      </c>
      <c r="B4190" s="22"/>
    </row>
    <row r="4192" spans="1:2">
      <c r="A4192" s="19" t="s">
        <v>423</v>
      </c>
    </row>
    <row r="4194" spans="1:2">
      <c r="A4194" s="19" t="s">
        <v>424</v>
      </c>
    </row>
    <row r="4196" spans="1:2">
      <c r="A4196" s="22" t="s">
        <v>407</v>
      </c>
    </row>
    <row r="4198" spans="1:2">
      <c r="A4198" s="22">
        <v>6</v>
      </c>
    </row>
    <row r="4200" spans="1:2">
      <c r="A4200" s="22" t="s">
        <v>1368</v>
      </c>
      <c r="B4200" s="22"/>
    </row>
    <row r="4202" spans="1:2">
      <c r="A4202" s="22" t="s">
        <v>446</v>
      </c>
      <c r="B4202" s="22"/>
    </row>
    <row r="4204" spans="1:2">
      <c r="A4204" s="19" t="s">
        <v>423</v>
      </c>
    </row>
    <row r="4206" spans="1:2">
      <c r="A4206" s="19" t="s">
        <v>424</v>
      </c>
    </row>
    <row r="4208" spans="1:2">
      <c r="A4208" s="22" t="s">
        <v>407</v>
      </c>
    </row>
    <row r="4210" spans="1:2">
      <c r="A4210" s="22">
        <v>2</v>
      </c>
    </row>
    <row r="4212" spans="1:2">
      <c r="A4212" s="22" t="s">
        <v>1369</v>
      </c>
      <c r="B4212" s="22"/>
    </row>
    <row r="4214" spans="1:2">
      <c r="A4214" s="22" t="s">
        <v>591</v>
      </c>
      <c r="B4214" s="22"/>
    </row>
    <row r="4216" spans="1:2">
      <c r="A4216" s="19" t="s">
        <v>423</v>
      </c>
    </row>
    <row r="4218" spans="1:2">
      <c r="A4218" s="19" t="s">
        <v>424</v>
      </c>
    </row>
    <row r="4220" spans="1:2">
      <c r="A4220" s="22" t="s">
        <v>407</v>
      </c>
    </row>
    <row r="4222" spans="1:2">
      <c r="A4222" s="22">
        <v>2</v>
      </c>
    </row>
    <row r="4224" spans="1:2">
      <c r="A4224" s="19" t="s">
        <v>2151</v>
      </c>
      <c r="B4224" s="19"/>
    </row>
    <row r="4226" spans="1:2">
      <c r="A4226" s="22" t="s">
        <v>133</v>
      </c>
    </row>
    <row r="4227" spans="1:2">
      <c r="A4227" s="22" t="s">
        <v>131</v>
      </c>
      <c r="B4227" s="22"/>
    </row>
    <row r="4228" spans="1:2">
      <c r="A4228" s="22" t="s">
        <v>389</v>
      </c>
      <c r="B4228" s="22"/>
    </row>
    <row r="4230" spans="1:2">
      <c r="A4230" s="19" t="s">
        <v>400</v>
      </c>
      <c r="B4230" s="19"/>
    </row>
    <row r="4232" spans="1:2">
      <c r="A4232" s="19" t="s">
        <v>2110</v>
      </c>
      <c r="B4232" s="19"/>
    </row>
    <row r="4234" spans="1:2">
      <c r="A4234" s="22" t="s">
        <v>1028</v>
      </c>
      <c r="B4234" s="22"/>
    </row>
    <row r="4236" spans="1:2">
      <c r="A4236" s="22" t="s">
        <v>1370</v>
      </c>
      <c r="B4236" s="22"/>
    </row>
    <row r="4238" spans="1:2">
      <c r="A4238" s="22" t="s">
        <v>1371</v>
      </c>
      <c r="B4238" s="22"/>
    </row>
    <row r="4240" spans="1:2">
      <c r="A4240" s="19" t="s">
        <v>406</v>
      </c>
    </row>
    <row r="4242" spans="1:2">
      <c r="A4242" s="22" t="s">
        <v>407</v>
      </c>
    </row>
    <row r="4244" spans="1:2">
      <c r="A4244" s="22">
        <v>2</v>
      </c>
    </row>
    <row r="4246" spans="1:2">
      <c r="A4246" s="22" t="s">
        <v>1372</v>
      </c>
      <c r="B4246" s="22"/>
    </row>
    <row r="4248" spans="1:2">
      <c r="A4248" s="22" t="s">
        <v>595</v>
      </c>
      <c r="B4248" s="22"/>
    </row>
    <row r="4250" spans="1:2">
      <c r="A4250" s="19" t="s">
        <v>423</v>
      </c>
    </row>
    <row r="4252" spans="1:2">
      <c r="A4252" s="19" t="s">
        <v>424</v>
      </c>
    </row>
    <row r="4254" spans="1:2">
      <c r="A4254" s="22" t="s">
        <v>407</v>
      </c>
    </row>
    <row r="4256" spans="1:2">
      <c r="A4256" s="22">
        <v>2</v>
      </c>
    </row>
    <row r="4258" spans="1:2">
      <c r="A4258" s="22" t="s">
        <v>1373</v>
      </c>
      <c r="B4258" s="22"/>
    </row>
    <row r="4260" spans="1:2">
      <c r="A4260" s="22" t="s">
        <v>438</v>
      </c>
      <c r="B4260" s="22"/>
    </row>
    <row r="4262" spans="1:2">
      <c r="A4262" s="19" t="s">
        <v>423</v>
      </c>
    </row>
    <row r="4264" spans="1:2">
      <c r="A4264" s="19" t="s">
        <v>424</v>
      </c>
    </row>
    <row r="4266" spans="1:2">
      <c r="A4266" s="22" t="s">
        <v>407</v>
      </c>
    </row>
    <row r="4268" spans="1:2">
      <c r="A4268" s="22">
        <v>2</v>
      </c>
    </row>
    <row r="4270" spans="1:2">
      <c r="A4270" s="22" t="s">
        <v>1374</v>
      </c>
      <c r="B4270" s="22"/>
    </row>
    <row r="4272" spans="1:2">
      <c r="A4272" s="22" t="s">
        <v>436</v>
      </c>
      <c r="B4272" s="22"/>
    </row>
    <row r="4274" spans="1:2">
      <c r="A4274" s="19" t="s">
        <v>423</v>
      </c>
    </row>
    <row r="4276" spans="1:2">
      <c r="A4276" s="19" t="s">
        <v>424</v>
      </c>
    </row>
    <row r="4278" spans="1:2">
      <c r="A4278" s="22" t="s">
        <v>407</v>
      </c>
    </row>
    <row r="4280" spans="1:2">
      <c r="A4280" s="22">
        <v>3</v>
      </c>
    </row>
    <row r="4282" spans="1:2">
      <c r="A4282" s="22" t="s">
        <v>1375</v>
      </c>
      <c r="B4282" s="22"/>
    </row>
    <row r="4284" spans="1:2">
      <c r="A4284" s="22" t="s">
        <v>1376</v>
      </c>
      <c r="B4284" s="22"/>
    </row>
    <row r="4286" spans="1:2">
      <c r="A4286" s="19" t="s">
        <v>423</v>
      </c>
    </row>
    <row r="4288" spans="1:2">
      <c r="A4288" s="19" t="s">
        <v>424</v>
      </c>
    </row>
    <row r="4290" spans="1:2">
      <c r="A4290" s="22" t="s">
        <v>407</v>
      </c>
    </row>
    <row r="4292" spans="1:2">
      <c r="A4292" s="22">
        <v>2</v>
      </c>
    </row>
    <row r="4294" spans="1:2">
      <c r="A4294" s="22" t="s">
        <v>1377</v>
      </c>
      <c r="B4294" s="22"/>
    </row>
    <row r="4296" spans="1:2">
      <c r="A4296" s="22" t="s">
        <v>471</v>
      </c>
      <c r="B4296" s="22"/>
    </row>
    <row r="4298" spans="1:2">
      <c r="A4298" s="19" t="s">
        <v>423</v>
      </c>
    </row>
    <row r="4300" spans="1:2">
      <c r="A4300" s="19" t="s">
        <v>424</v>
      </c>
    </row>
    <row r="4302" spans="1:2">
      <c r="A4302" s="22" t="s">
        <v>407</v>
      </c>
    </row>
    <row r="4304" spans="1:2">
      <c r="A4304" s="22">
        <v>3</v>
      </c>
    </row>
    <row r="4306" spans="1:2">
      <c r="A4306" s="22" t="s">
        <v>1378</v>
      </c>
      <c r="B4306" s="22"/>
    </row>
    <row r="4308" spans="1:2">
      <c r="A4308" s="22" t="s">
        <v>1096</v>
      </c>
      <c r="B4308" s="22"/>
    </row>
    <row r="4310" spans="1:2">
      <c r="A4310" s="19" t="s">
        <v>423</v>
      </c>
    </row>
    <row r="4312" spans="1:2">
      <c r="A4312" s="19" t="s">
        <v>424</v>
      </c>
    </row>
    <row r="4314" spans="1:2">
      <c r="A4314" s="22" t="s">
        <v>407</v>
      </c>
    </row>
    <row r="4316" spans="1:2">
      <c r="A4316" s="22">
        <v>3</v>
      </c>
    </row>
    <row r="4318" spans="1:2">
      <c r="A4318" s="22" t="s">
        <v>1379</v>
      </c>
      <c r="B4318" s="22"/>
    </row>
    <row r="4320" spans="1:2">
      <c r="A4320" s="22" t="s">
        <v>409</v>
      </c>
      <c r="B4320" s="22"/>
    </row>
    <row r="4322" spans="1:2">
      <c r="A4322" s="19" t="s">
        <v>423</v>
      </c>
    </row>
    <row r="4324" spans="1:2">
      <c r="A4324" s="19" t="s">
        <v>424</v>
      </c>
    </row>
    <row r="4326" spans="1:2">
      <c r="A4326" s="22" t="s">
        <v>407</v>
      </c>
    </row>
    <row r="4328" spans="1:2">
      <c r="A4328" s="22">
        <v>2</v>
      </c>
    </row>
    <row r="4330" spans="1:2">
      <c r="A4330" s="19" t="s">
        <v>2152</v>
      </c>
      <c r="B4330" s="19"/>
    </row>
    <row r="4332" spans="1:2">
      <c r="A4332" s="22" t="s">
        <v>133</v>
      </c>
    </row>
    <row r="4333" spans="1:2">
      <c r="A4333" s="22" t="s">
        <v>131</v>
      </c>
      <c r="B4333" s="22"/>
    </row>
    <row r="4334" spans="1:2">
      <c r="A4334" s="22" t="s">
        <v>389</v>
      </c>
      <c r="B4334" s="22"/>
    </row>
    <row r="4336" spans="1:2">
      <c r="A4336" s="19" t="s">
        <v>400</v>
      </c>
      <c r="B4336" s="19"/>
    </row>
    <row r="4338" spans="1:2">
      <c r="A4338" s="19" t="s">
        <v>2110</v>
      </c>
      <c r="B4338" s="19"/>
    </row>
    <row r="4340" spans="1:2">
      <c r="A4340" s="22" t="s">
        <v>1028</v>
      </c>
      <c r="B4340" s="22"/>
    </row>
    <row r="4342" spans="1:2">
      <c r="A4342" s="22" t="s">
        <v>1380</v>
      </c>
      <c r="B4342" s="22"/>
    </row>
    <row r="4344" spans="1:2">
      <c r="A4344" s="22" t="s">
        <v>517</v>
      </c>
      <c r="B4344" s="22"/>
    </row>
    <row r="4346" spans="1:2">
      <c r="A4346" s="19" t="s">
        <v>406</v>
      </c>
    </row>
    <row r="4348" spans="1:2">
      <c r="A4348" s="22" t="s">
        <v>407</v>
      </c>
    </row>
    <row r="4350" spans="1:2">
      <c r="A4350" s="22">
        <v>2</v>
      </c>
    </row>
    <row r="4352" spans="1:2">
      <c r="A4352" s="22" t="s">
        <v>1381</v>
      </c>
      <c r="B4352" s="22"/>
    </row>
    <row r="4354" spans="1:2">
      <c r="A4354" s="22" t="s">
        <v>935</v>
      </c>
      <c r="B4354" s="22"/>
    </row>
    <row r="4356" spans="1:2">
      <c r="A4356" s="19" t="s">
        <v>423</v>
      </c>
    </row>
    <row r="4358" spans="1:2">
      <c r="A4358" s="19" t="s">
        <v>424</v>
      </c>
    </row>
    <row r="4360" spans="1:2">
      <c r="A4360" s="22" t="s">
        <v>407</v>
      </c>
    </row>
    <row r="4362" spans="1:2">
      <c r="A4362" s="22">
        <v>2</v>
      </c>
    </row>
    <row r="4364" spans="1:2">
      <c r="A4364" s="22" t="s">
        <v>1382</v>
      </c>
      <c r="B4364" s="22"/>
    </row>
    <row r="4366" spans="1:2">
      <c r="A4366" s="22" t="s">
        <v>646</v>
      </c>
      <c r="B4366" s="22"/>
    </row>
    <row r="4368" spans="1:2">
      <c r="A4368" s="19" t="s">
        <v>423</v>
      </c>
    </row>
    <row r="4370" spans="1:2">
      <c r="A4370" s="19" t="s">
        <v>424</v>
      </c>
    </row>
    <row r="4372" spans="1:2">
      <c r="A4372" s="22" t="s">
        <v>407</v>
      </c>
    </row>
    <row r="4374" spans="1:2">
      <c r="A4374" s="22">
        <v>2</v>
      </c>
    </row>
    <row r="4376" spans="1:2">
      <c r="A4376" s="22" t="s">
        <v>1383</v>
      </c>
      <c r="B4376" s="22"/>
    </row>
    <row r="4378" spans="1:2">
      <c r="A4378" s="22" t="s">
        <v>879</v>
      </c>
      <c r="B4378" s="22"/>
    </row>
    <row r="4380" spans="1:2">
      <c r="A4380" s="19" t="s">
        <v>423</v>
      </c>
    </row>
    <row r="4382" spans="1:2">
      <c r="A4382" s="19" t="s">
        <v>424</v>
      </c>
    </row>
    <row r="4384" spans="1:2">
      <c r="A4384" s="22" t="s">
        <v>407</v>
      </c>
    </row>
    <row r="4386" spans="1:2">
      <c r="A4386" s="22">
        <v>2</v>
      </c>
    </row>
    <row r="4388" spans="1:2">
      <c r="A4388" s="22" t="s">
        <v>1384</v>
      </c>
      <c r="B4388" s="22"/>
    </row>
    <row r="4390" spans="1:2">
      <c r="A4390" s="22" t="s">
        <v>405</v>
      </c>
      <c r="B4390" s="22"/>
    </row>
    <row r="4392" spans="1:2">
      <c r="A4392" s="19" t="s">
        <v>423</v>
      </c>
    </row>
    <row r="4394" spans="1:2">
      <c r="A4394" s="19" t="s">
        <v>424</v>
      </c>
    </row>
    <row r="4396" spans="1:2">
      <c r="A4396" s="22" t="s">
        <v>407</v>
      </c>
    </row>
    <row r="4398" spans="1:2">
      <c r="A4398" s="22">
        <v>2</v>
      </c>
    </row>
    <row r="4400" spans="1:2">
      <c r="A4400" s="22" t="s">
        <v>1385</v>
      </c>
      <c r="B4400" s="22"/>
    </row>
    <row r="4402" spans="1:2">
      <c r="A4402" s="22" t="s">
        <v>1037</v>
      </c>
      <c r="B4402" s="22"/>
    </row>
    <row r="4404" spans="1:2">
      <c r="A4404" s="19" t="s">
        <v>423</v>
      </c>
    </row>
    <row r="4406" spans="1:2">
      <c r="A4406" s="19" t="s">
        <v>424</v>
      </c>
    </row>
    <row r="4408" spans="1:2">
      <c r="A4408" s="22" t="s">
        <v>407</v>
      </c>
    </row>
    <row r="4410" spans="1:2">
      <c r="A4410" s="22">
        <v>3</v>
      </c>
    </row>
    <row r="4412" spans="1:2">
      <c r="A4412" s="22" t="s">
        <v>1386</v>
      </c>
      <c r="B4412" s="22"/>
    </row>
    <row r="4414" spans="1:2">
      <c r="A4414" s="22" t="s">
        <v>728</v>
      </c>
      <c r="B4414" s="22"/>
    </row>
    <row r="4416" spans="1:2">
      <c r="A4416" s="19" t="s">
        <v>423</v>
      </c>
    </row>
    <row r="4418" spans="1:2">
      <c r="A4418" s="19" t="s">
        <v>424</v>
      </c>
    </row>
    <row r="4420" spans="1:2">
      <c r="A4420" s="22" t="s">
        <v>407</v>
      </c>
    </row>
    <row r="4422" spans="1:2">
      <c r="A4422" s="22">
        <v>2</v>
      </c>
    </row>
    <row r="4424" spans="1:2">
      <c r="A4424" s="22" t="s">
        <v>1387</v>
      </c>
      <c r="B4424" s="22"/>
    </row>
    <row r="4426" spans="1:2">
      <c r="A4426" s="22" t="s">
        <v>430</v>
      </c>
      <c r="B4426" s="22"/>
    </row>
    <row r="4428" spans="1:2">
      <c r="A4428" s="19" t="s">
        <v>423</v>
      </c>
    </row>
    <row r="4430" spans="1:2">
      <c r="A4430" s="19" t="s">
        <v>424</v>
      </c>
    </row>
    <row r="4432" spans="1:2">
      <c r="A4432" s="22" t="s">
        <v>407</v>
      </c>
    </row>
    <row r="4434" spans="1:2">
      <c r="A4434" s="22">
        <v>2</v>
      </c>
    </row>
    <row r="4436" spans="1:2">
      <c r="A4436" s="19" t="s">
        <v>2153</v>
      </c>
      <c r="B4436" s="19"/>
    </row>
    <row r="4438" spans="1:2">
      <c r="A4438" s="22" t="s">
        <v>133</v>
      </c>
    </row>
    <row r="4439" spans="1:2">
      <c r="A4439" s="22" t="s">
        <v>131</v>
      </c>
      <c r="B4439" s="22"/>
    </row>
    <row r="4440" spans="1:2">
      <c r="A4440" s="22" t="s">
        <v>389</v>
      </c>
      <c r="B4440" s="22"/>
    </row>
    <row r="4442" spans="1:2">
      <c r="A4442" s="19" t="s">
        <v>400</v>
      </c>
      <c r="B4442" s="19"/>
    </row>
    <row r="4444" spans="1:2">
      <c r="A4444" s="19" t="s">
        <v>2110</v>
      </c>
      <c r="B4444" s="19"/>
    </row>
    <row r="4446" spans="1:2">
      <c r="A4446" s="22" t="s">
        <v>1028</v>
      </c>
      <c r="B4446" s="22"/>
    </row>
    <row r="4448" spans="1:2">
      <c r="A4448" s="22" t="s">
        <v>1388</v>
      </c>
      <c r="B4448" s="22"/>
    </row>
    <row r="4450" spans="1:2">
      <c r="A4450" s="22" t="s">
        <v>464</v>
      </c>
      <c r="B4450" s="22"/>
    </row>
    <row r="4452" spans="1:2">
      <c r="A4452" s="19" t="s">
        <v>406</v>
      </c>
    </row>
    <row r="4454" spans="1:2">
      <c r="A4454" s="22" t="s">
        <v>407</v>
      </c>
    </row>
    <row r="4456" spans="1:2">
      <c r="A4456" s="22">
        <v>2</v>
      </c>
    </row>
    <row r="4458" spans="1:2">
      <c r="A4458" s="22" t="s">
        <v>1389</v>
      </c>
      <c r="B4458" s="22"/>
    </row>
    <row r="4460" spans="1:2">
      <c r="A4460" s="22" t="s">
        <v>418</v>
      </c>
      <c r="B4460" s="22"/>
    </row>
    <row r="4462" spans="1:2">
      <c r="A4462" s="19" t="s">
        <v>423</v>
      </c>
    </row>
    <row r="4464" spans="1:2">
      <c r="A4464" s="19" t="s">
        <v>424</v>
      </c>
    </row>
    <row r="4466" spans="1:2">
      <c r="A4466" s="22" t="s">
        <v>407</v>
      </c>
    </row>
    <row r="4468" spans="1:2">
      <c r="A4468" s="22">
        <v>3</v>
      </c>
    </row>
    <row r="4470" spans="1:2">
      <c r="A4470" s="22" t="s">
        <v>1390</v>
      </c>
      <c r="B4470" s="22"/>
    </row>
    <row r="4472" spans="1:2">
      <c r="A4472" s="22" t="s">
        <v>532</v>
      </c>
      <c r="B4472" s="22"/>
    </row>
    <row r="4474" spans="1:2">
      <c r="A4474" s="19" t="s">
        <v>423</v>
      </c>
    </row>
    <row r="4476" spans="1:2">
      <c r="A4476" s="19" t="s">
        <v>424</v>
      </c>
    </row>
    <row r="4478" spans="1:2">
      <c r="A4478" s="22" t="s">
        <v>407</v>
      </c>
    </row>
    <row r="4480" spans="1:2">
      <c r="A4480" s="22">
        <v>3</v>
      </c>
    </row>
    <row r="4482" spans="1:2">
      <c r="A4482" s="22" t="s">
        <v>1391</v>
      </c>
      <c r="B4482" s="22"/>
    </row>
    <row r="4484" spans="1:2">
      <c r="A4484" s="22" t="s">
        <v>1248</v>
      </c>
      <c r="B4484" s="22"/>
    </row>
    <row r="4486" spans="1:2">
      <c r="A4486" s="19" t="s">
        <v>423</v>
      </c>
    </row>
    <row r="4488" spans="1:2">
      <c r="A4488" s="19" t="s">
        <v>424</v>
      </c>
    </row>
    <row r="4490" spans="1:2">
      <c r="A4490" s="22" t="s">
        <v>407</v>
      </c>
    </row>
    <row r="4492" spans="1:2">
      <c r="A4492" s="22">
        <v>3</v>
      </c>
    </row>
    <row r="4494" spans="1:2">
      <c r="A4494" s="22" t="s">
        <v>1392</v>
      </c>
      <c r="B4494" s="22"/>
    </row>
    <row r="4496" spans="1:2">
      <c r="A4496" s="22" t="s">
        <v>485</v>
      </c>
      <c r="B4496" s="22"/>
    </row>
    <row r="4498" spans="1:2">
      <c r="A4498" s="19" t="s">
        <v>423</v>
      </c>
    </row>
    <row r="4500" spans="1:2">
      <c r="A4500" s="19" t="s">
        <v>424</v>
      </c>
    </row>
    <row r="4502" spans="1:2">
      <c r="A4502" s="22" t="s">
        <v>407</v>
      </c>
    </row>
    <row r="4504" spans="1:2">
      <c r="A4504" s="22">
        <v>2</v>
      </c>
    </row>
    <row r="4506" spans="1:2">
      <c r="A4506" s="22" t="s">
        <v>1393</v>
      </c>
      <c r="B4506" s="22"/>
    </row>
    <row r="4508" spans="1:2">
      <c r="A4508" s="22" t="s">
        <v>738</v>
      </c>
      <c r="B4508" s="22"/>
    </row>
    <row r="4510" spans="1:2">
      <c r="A4510" s="19" t="s">
        <v>423</v>
      </c>
    </row>
    <row r="4512" spans="1:2">
      <c r="A4512" s="19" t="s">
        <v>424</v>
      </c>
    </row>
    <row r="4514" spans="1:2">
      <c r="A4514" s="22" t="s">
        <v>407</v>
      </c>
    </row>
    <row r="4516" spans="1:2">
      <c r="A4516" s="22">
        <v>2</v>
      </c>
    </row>
    <row r="4518" spans="1:2">
      <c r="A4518" s="22" t="s">
        <v>1394</v>
      </c>
      <c r="B4518" s="22"/>
    </row>
    <row r="4520" spans="1:2">
      <c r="A4520" s="22" t="s">
        <v>456</v>
      </c>
      <c r="B4520" s="22"/>
    </row>
    <row r="4522" spans="1:2">
      <c r="A4522" s="19" t="s">
        <v>423</v>
      </c>
    </row>
    <row r="4524" spans="1:2">
      <c r="A4524" s="19" t="s">
        <v>424</v>
      </c>
    </row>
    <row r="4526" spans="1:2">
      <c r="A4526" s="22" t="s">
        <v>407</v>
      </c>
    </row>
    <row r="4528" spans="1:2">
      <c r="A4528" s="22">
        <v>3</v>
      </c>
    </row>
    <row r="4530" spans="1:2">
      <c r="A4530" s="22" t="s">
        <v>1395</v>
      </c>
      <c r="B4530" s="22"/>
    </row>
    <row r="4532" spans="1:2">
      <c r="A4532" s="22" t="s">
        <v>460</v>
      </c>
      <c r="B4532" s="22"/>
    </row>
    <row r="4534" spans="1:2">
      <c r="A4534" s="19" t="s">
        <v>423</v>
      </c>
    </row>
    <row r="4536" spans="1:2">
      <c r="A4536" s="19" t="s">
        <v>424</v>
      </c>
    </row>
    <row r="4538" spans="1:2">
      <c r="A4538" s="22" t="s">
        <v>407</v>
      </c>
    </row>
    <row r="4540" spans="1:2">
      <c r="A4540" s="22">
        <v>8</v>
      </c>
    </row>
    <row r="4542" spans="1:2">
      <c r="A4542" s="19" t="s">
        <v>2154</v>
      </c>
      <c r="B4542" s="19"/>
    </row>
    <row r="4544" spans="1:2">
      <c r="A4544" s="22" t="s">
        <v>133</v>
      </c>
    </row>
    <row r="4545" spans="1:2">
      <c r="A4545" s="22" t="s">
        <v>131</v>
      </c>
      <c r="B4545" s="22"/>
    </row>
    <row r="4546" spans="1:2">
      <c r="A4546" s="22" t="s">
        <v>389</v>
      </c>
      <c r="B4546" s="22"/>
    </row>
    <row r="4548" spans="1:2">
      <c r="A4548" s="19" t="s">
        <v>400</v>
      </c>
      <c r="B4548" s="19"/>
    </row>
    <row r="4550" spans="1:2">
      <c r="A4550" s="19" t="s">
        <v>2110</v>
      </c>
      <c r="B4550" s="19"/>
    </row>
    <row r="4552" spans="1:2">
      <c r="A4552" s="22" t="s">
        <v>1028</v>
      </c>
      <c r="B4552" s="22"/>
    </row>
    <row r="4554" spans="1:2">
      <c r="A4554" s="22" t="s">
        <v>1396</v>
      </c>
      <c r="B4554" s="22"/>
    </row>
    <row r="4556" spans="1:2">
      <c r="A4556" s="22" t="s">
        <v>646</v>
      </c>
      <c r="B4556" s="22"/>
    </row>
    <row r="4558" spans="1:2">
      <c r="A4558" s="19" t="s">
        <v>406</v>
      </c>
    </row>
    <row r="4560" spans="1:2">
      <c r="A4560" s="22" t="s">
        <v>407</v>
      </c>
    </row>
    <row r="4562" spans="1:2">
      <c r="A4562" s="22">
        <v>2</v>
      </c>
    </row>
    <row r="4564" spans="1:2">
      <c r="A4564" s="22" t="s">
        <v>1397</v>
      </c>
      <c r="B4564" s="22"/>
    </row>
    <row r="4566" spans="1:2">
      <c r="A4566" s="22" t="s">
        <v>904</v>
      </c>
      <c r="B4566" s="22"/>
    </row>
    <row r="4568" spans="1:2">
      <c r="A4568" s="19" t="s">
        <v>423</v>
      </c>
    </row>
    <row r="4570" spans="1:2">
      <c r="A4570" s="19" t="s">
        <v>424</v>
      </c>
    </row>
    <row r="4572" spans="1:2">
      <c r="A4572" s="22" t="s">
        <v>407</v>
      </c>
    </row>
    <row r="4574" spans="1:2">
      <c r="A4574" s="22">
        <v>2</v>
      </c>
    </row>
    <row r="4576" spans="1:2">
      <c r="A4576" s="22" t="s">
        <v>1398</v>
      </c>
      <c r="B4576" s="22"/>
    </row>
    <row r="4578" spans="1:2">
      <c r="A4578" s="22" t="s">
        <v>405</v>
      </c>
      <c r="B4578" s="22"/>
    </row>
    <row r="4580" spans="1:2">
      <c r="A4580" s="19" t="s">
        <v>423</v>
      </c>
    </row>
    <row r="4582" spans="1:2">
      <c r="A4582" s="19" t="s">
        <v>424</v>
      </c>
    </row>
    <row r="4584" spans="1:2">
      <c r="A4584" s="22" t="s">
        <v>407</v>
      </c>
    </row>
    <row r="4586" spans="1:2">
      <c r="A4586" s="22">
        <v>2</v>
      </c>
    </row>
    <row r="4588" spans="1:2">
      <c r="A4588" s="22" t="s">
        <v>1399</v>
      </c>
      <c r="B4588" s="22"/>
    </row>
    <row r="4590" spans="1:2">
      <c r="A4590" s="22" t="s">
        <v>405</v>
      </c>
      <c r="B4590" s="22"/>
    </row>
    <row r="4592" spans="1:2">
      <c r="A4592" s="19" t="s">
        <v>423</v>
      </c>
    </row>
    <row r="4594" spans="1:2">
      <c r="A4594" s="19" t="s">
        <v>424</v>
      </c>
    </row>
    <row r="4596" spans="1:2">
      <c r="A4596" s="22" t="s">
        <v>407</v>
      </c>
    </row>
    <row r="4598" spans="1:2">
      <c r="A4598" s="22">
        <v>2</v>
      </c>
    </row>
    <row r="4600" spans="1:2">
      <c r="A4600" s="22" t="s">
        <v>1400</v>
      </c>
      <c r="B4600" s="22"/>
    </row>
    <row r="4602" spans="1:2">
      <c r="A4602" s="22" t="s">
        <v>517</v>
      </c>
      <c r="B4602" s="22"/>
    </row>
    <row r="4604" spans="1:2">
      <c r="A4604" s="19" t="s">
        <v>423</v>
      </c>
    </row>
    <row r="4606" spans="1:2">
      <c r="A4606" s="19" t="s">
        <v>424</v>
      </c>
    </row>
    <row r="4608" spans="1:2">
      <c r="A4608" s="22" t="s">
        <v>407</v>
      </c>
    </row>
    <row r="4610" spans="1:2">
      <c r="A4610" s="22">
        <v>2</v>
      </c>
    </row>
    <row r="4612" spans="1:2">
      <c r="A4612" s="22" t="s">
        <v>1401</v>
      </c>
      <c r="B4612" s="22"/>
    </row>
    <row r="4614" spans="1:2">
      <c r="A4614" s="22" t="s">
        <v>504</v>
      </c>
      <c r="B4614" s="22"/>
    </row>
    <row r="4616" spans="1:2">
      <c r="A4616" s="19" t="s">
        <v>423</v>
      </c>
    </row>
    <row r="4618" spans="1:2">
      <c r="A4618" s="19" t="s">
        <v>424</v>
      </c>
    </row>
    <row r="4620" spans="1:2">
      <c r="A4620" s="22" t="s">
        <v>407</v>
      </c>
    </row>
    <row r="4622" spans="1:2">
      <c r="A4622" s="22">
        <v>2</v>
      </c>
    </row>
    <row r="4624" spans="1:2">
      <c r="A4624" s="22" t="s">
        <v>1402</v>
      </c>
      <c r="B4624" s="22"/>
    </row>
    <row r="4626" spans="1:2">
      <c r="A4626" s="22" t="s">
        <v>582</v>
      </c>
      <c r="B4626" s="22"/>
    </row>
    <row r="4628" spans="1:2">
      <c r="A4628" s="19" t="s">
        <v>423</v>
      </c>
    </row>
    <row r="4630" spans="1:2">
      <c r="A4630" s="19" t="s">
        <v>424</v>
      </c>
    </row>
    <row r="4632" spans="1:2">
      <c r="A4632" s="22" t="s">
        <v>407</v>
      </c>
    </row>
    <row r="4634" spans="1:2">
      <c r="A4634" s="22">
        <v>2</v>
      </c>
    </row>
    <row r="4636" spans="1:2">
      <c r="A4636" s="22" t="s">
        <v>1403</v>
      </c>
      <c r="B4636" s="22"/>
    </row>
    <row r="4638" spans="1:2">
      <c r="A4638" s="22" t="s">
        <v>507</v>
      </c>
      <c r="B4638" s="22"/>
    </row>
    <row r="4640" spans="1:2">
      <c r="A4640" s="19" t="s">
        <v>423</v>
      </c>
    </row>
    <row r="4642" spans="1:2">
      <c r="A4642" s="19" t="s">
        <v>424</v>
      </c>
    </row>
    <row r="4644" spans="1:2">
      <c r="A4644" s="22" t="s">
        <v>407</v>
      </c>
    </row>
    <row r="4646" spans="1:2">
      <c r="A4646" s="22">
        <v>4</v>
      </c>
    </row>
    <row r="4648" spans="1:2">
      <c r="A4648" s="19" t="s">
        <v>2155</v>
      </c>
      <c r="B4648" s="19"/>
    </row>
    <row r="4650" spans="1:2">
      <c r="A4650" s="22" t="s">
        <v>133</v>
      </c>
    </row>
    <row r="4651" spans="1:2">
      <c r="A4651" s="22" t="s">
        <v>131</v>
      </c>
      <c r="B4651" s="22"/>
    </row>
    <row r="4652" spans="1:2">
      <c r="A4652" s="22" t="s">
        <v>389</v>
      </c>
      <c r="B4652" s="22"/>
    </row>
    <row r="4654" spans="1:2">
      <c r="A4654" s="19" t="s">
        <v>400</v>
      </c>
      <c r="B4654" s="19"/>
    </row>
    <row r="4656" spans="1:2">
      <c r="A4656" s="19" t="s">
        <v>2110</v>
      </c>
      <c r="B4656" s="19"/>
    </row>
    <row r="4658" spans="1:2">
      <c r="A4658" s="22" t="s">
        <v>1028</v>
      </c>
      <c r="B4658" s="22"/>
    </row>
    <row r="4660" spans="1:2">
      <c r="A4660" s="22" t="s">
        <v>1404</v>
      </c>
      <c r="B4660" s="22"/>
    </row>
    <row r="4662" spans="1:2">
      <c r="A4662" s="22" t="s">
        <v>460</v>
      </c>
      <c r="B4662" s="22"/>
    </row>
    <row r="4664" spans="1:2">
      <c r="A4664" s="19" t="s">
        <v>406</v>
      </c>
    </row>
    <row r="4666" spans="1:2">
      <c r="A4666" s="22" t="s">
        <v>407</v>
      </c>
    </row>
    <row r="4668" spans="1:2">
      <c r="A4668" s="22">
        <v>8</v>
      </c>
    </row>
    <row r="4670" spans="1:2">
      <c r="A4670" s="22" t="s">
        <v>1405</v>
      </c>
      <c r="B4670" s="22"/>
    </row>
    <row r="4672" spans="1:2">
      <c r="A4672" s="22" t="s">
        <v>413</v>
      </c>
      <c r="B4672" s="22"/>
    </row>
    <row r="4674" spans="1:2">
      <c r="A4674" s="19" t="s">
        <v>423</v>
      </c>
    </row>
    <row r="4676" spans="1:2">
      <c r="A4676" s="19" t="s">
        <v>424</v>
      </c>
    </row>
    <row r="4678" spans="1:2">
      <c r="A4678" s="22" t="s">
        <v>407</v>
      </c>
    </row>
    <row r="4680" spans="1:2">
      <c r="A4680" s="22">
        <v>3</v>
      </c>
    </row>
    <row r="4682" spans="1:2">
      <c r="A4682" s="22" t="s">
        <v>1406</v>
      </c>
      <c r="B4682" s="22"/>
    </row>
    <row r="4684" spans="1:2">
      <c r="A4684" s="22" t="s">
        <v>849</v>
      </c>
      <c r="B4684" s="22"/>
    </row>
    <row r="4686" spans="1:2">
      <c r="A4686" s="19" t="s">
        <v>423</v>
      </c>
    </row>
    <row r="4688" spans="1:2">
      <c r="A4688" s="19" t="s">
        <v>424</v>
      </c>
    </row>
    <row r="4690" spans="1:2">
      <c r="A4690" s="22" t="s">
        <v>407</v>
      </c>
    </row>
    <row r="4692" spans="1:2">
      <c r="A4692" s="22">
        <v>3</v>
      </c>
    </row>
    <row r="4694" spans="1:2">
      <c r="A4694" s="22" t="s">
        <v>1407</v>
      </c>
      <c r="B4694" s="22"/>
    </row>
    <row r="4696" spans="1:2">
      <c r="A4696" s="22" t="s">
        <v>755</v>
      </c>
      <c r="B4696" s="22"/>
    </row>
    <row r="4698" spans="1:2">
      <c r="A4698" s="19" t="s">
        <v>423</v>
      </c>
    </row>
    <row r="4700" spans="1:2">
      <c r="A4700" s="19" t="s">
        <v>424</v>
      </c>
    </row>
    <row r="4702" spans="1:2">
      <c r="A4702" s="22" t="s">
        <v>407</v>
      </c>
    </row>
    <row r="4704" spans="1:2">
      <c r="A4704" s="22">
        <v>3</v>
      </c>
    </row>
    <row r="4706" spans="1:2">
      <c r="A4706" s="22" t="s">
        <v>1408</v>
      </c>
      <c r="B4706" s="22"/>
    </row>
    <row r="4708" spans="1:2">
      <c r="A4708" s="22" t="s">
        <v>755</v>
      </c>
      <c r="B4708" s="22"/>
    </row>
    <row r="4710" spans="1:2">
      <c r="A4710" s="19" t="s">
        <v>423</v>
      </c>
    </row>
    <row r="4712" spans="1:2">
      <c r="A4712" s="19" t="s">
        <v>424</v>
      </c>
    </row>
    <row r="4714" spans="1:2">
      <c r="A4714" s="22" t="s">
        <v>407</v>
      </c>
    </row>
    <row r="4716" spans="1:2">
      <c r="A4716" s="22">
        <v>3</v>
      </c>
    </row>
    <row r="4718" spans="1:2">
      <c r="A4718" s="22" t="s">
        <v>1409</v>
      </c>
      <c r="B4718" s="22"/>
    </row>
    <row r="4720" spans="1:2">
      <c r="A4720" s="22" t="s">
        <v>550</v>
      </c>
      <c r="B4720" s="22"/>
    </row>
    <row r="4722" spans="1:2">
      <c r="A4722" s="19" t="s">
        <v>423</v>
      </c>
    </row>
    <row r="4724" spans="1:2">
      <c r="A4724" s="19" t="s">
        <v>424</v>
      </c>
    </row>
    <row r="4726" spans="1:2">
      <c r="A4726" s="22" t="s">
        <v>407</v>
      </c>
    </row>
    <row r="4728" spans="1:2">
      <c r="A4728" s="22">
        <v>2</v>
      </c>
    </row>
    <row r="4730" spans="1:2">
      <c r="A4730" s="22" t="s">
        <v>1410</v>
      </c>
      <c r="B4730" s="22"/>
    </row>
    <row r="4732" spans="1:2">
      <c r="A4732" s="22" t="s">
        <v>504</v>
      </c>
      <c r="B4732" s="22"/>
    </row>
    <row r="4734" spans="1:2">
      <c r="A4734" s="19" t="s">
        <v>423</v>
      </c>
    </row>
    <row r="4736" spans="1:2">
      <c r="A4736" s="19" t="s">
        <v>424</v>
      </c>
    </row>
    <row r="4738" spans="1:2">
      <c r="A4738" s="22" t="s">
        <v>407</v>
      </c>
    </row>
    <row r="4740" spans="1:2">
      <c r="A4740" s="22">
        <v>2</v>
      </c>
    </row>
    <row r="4742" spans="1:2">
      <c r="A4742" s="22" t="s">
        <v>1411</v>
      </c>
      <c r="B4742" s="22"/>
    </row>
    <row r="4744" spans="1:2">
      <c r="A4744" s="22" t="s">
        <v>422</v>
      </c>
      <c r="B4744" s="22"/>
    </row>
    <row r="4746" spans="1:2">
      <c r="A4746" s="19" t="s">
        <v>423</v>
      </c>
    </row>
    <row r="4748" spans="1:2">
      <c r="A4748" s="19" t="s">
        <v>424</v>
      </c>
    </row>
    <row r="4750" spans="1:2">
      <c r="A4750" s="22" t="s">
        <v>407</v>
      </c>
    </row>
    <row r="4752" spans="1:2">
      <c r="A4752" s="22">
        <v>2</v>
      </c>
    </row>
    <row r="4754" spans="1:2">
      <c r="A4754" s="19" t="s">
        <v>2156</v>
      </c>
      <c r="B4754" s="19"/>
    </row>
    <row r="4756" spans="1:2">
      <c r="A4756" s="22" t="s">
        <v>133</v>
      </c>
    </row>
    <row r="4757" spans="1:2">
      <c r="A4757" s="22" t="s">
        <v>131</v>
      </c>
      <c r="B4757" s="22"/>
    </row>
    <row r="4758" spans="1:2">
      <c r="A4758" s="22" t="s">
        <v>389</v>
      </c>
      <c r="B4758" s="22"/>
    </row>
    <row r="4760" spans="1:2">
      <c r="A4760" s="19" t="s">
        <v>400</v>
      </c>
      <c r="B4760" s="19"/>
    </row>
    <row r="4762" spans="1:2">
      <c r="A4762" s="19" t="s">
        <v>2110</v>
      </c>
      <c r="B4762" s="19"/>
    </row>
    <row r="4764" spans="1:2">
      <c r="A4764" s="22" t="s">
        <v>1028</v>
      </c>
      <c r="B4764" s="22"/>
    </row>
    <row r="4766" spans="1:2">
      <c r="A4766" s="22" t="s">
        <v>1412</v>
      </c>
      <c r="B4766" s="22"/>
    </row>
    <row r="4768" spans="1:2">
      <c r="A4768" s="22" t="s">
        <v>569</v>
      </c>
      <c r="B4768" s="22"/>
    </row>
    <row r="4770" spans="1:2">
      <c r="A4770" s="19" t="s">
        <v>406</v>
      </c>
    </row>
    <row r="4772" spans="1:2">
      <c r="A4772" s="22" t="s">
        <v>407</v>
      </c>
    </row>
    <row r="4774" spans="1:2">
      <c r="A4774" s="22">
        <v>2</v>
      </c>
    </row>
    <row r="4776" spans="1:2">
      <c r="A4776" s="22" t="s">
        <v>1413</v>
      </c>
      <c r="B4776" s="22"/>
    </row>
    <row r="4778" spans="1:2">
      <c r="A4778" s="22" t="s">
        <v>1096</v>
      </c>
      <c r="B4778" s="22"/>
    </row>
    <row r="4780" spans="1:2">
      <c r="A4780" s="19" t="s">
        <v>423</v>
      </c>
    </row>
    <row r="4782" spans="1:2">
      <c r="A4782" s="19" t="s">
        <v>424</v>
      </c>
    </row>
    <row r="4784" spans="1:2">
      <c r="A4784" s="22" t="s">
        <v>407</v>
      </c>
    </row>
    <row r="4786" spans="1:2">
      <c r="A4786" s="22">
        <v>2</v>
      </c>
    </row>
    <row r="4788" spans="1:2">
      <c r="A4788" s="22" t="s">
        <v>1414</v>
      </c>
      <c r="B4788" s="22"/>
    </row>
    <row r="4790" spans="1:2">
      <c r="A4790" s="22" t="s">
        <v>418</v>
      </c>
      <c r="B4790" s="22"/>
    </row>
    <row r="4792" spans="1:2">
      <c r="A4792" s="19" t="s">
        <v>423</v>
      </c>
    </row>
    <row r="4794" spans="1:2">
      <c r="A4794" s="19" t="s">
        <v>424</v>
      </c>
    </row>
    <row r="4796" spans="1:2">
      <c r="A4796" s="22" t="s">
        <v>407</v>
      </c>
    </row>
    <row r="4798" spans="1:2">
      <c r="A4798" s="22">
        <v>3</v>
      </c>
    </row>
    <row r="4800" spans="1:2">
      <c r="A4800" s="22" t="s">
        <v>1415</v>
      </c>
      <c r="B4800" s="22"/>
    </row>
    <row r="4802" spans="1:2">
      <c r="A4802" s="22" t="s">
        <v>432</v>
      </c>
      <c r="B4802" s="22"/>
    </row>
    <row r="4804" spans="1:2">
      <c r="A4804" s="19" t="s">
        <v>423</v>
      </c>
    </row>
    <row r="4806" spans="1:2">
      <c r="A4806" s="19" t="s">
        <v>424</v>
      </c>
    </row>
    <row r="4808" spans="1:2">
      <c r="A4808" s="22" t="s">
        <v>407</v>
      </c>
    </row>
    <row r="4810" spans="1:2">
      <c r="A4810" s="22">
        <v>1</v>
      </c>
    </row>
    <row r="4812" spans="1:2">
      <c r="A4812" s="22" t="s">
        <v>1416</v>
      </c>
      <c r="B4812" s="22"/>
    </row>
    <row r="4814" spans="1:2">
      <c r="A4814" s="22" t="s">
        <v>422</v>
      </c>
      <c r="B4814" s="22"/>
    </row>
    <row r="4816" spans="1:2">
      <c r="A4816" s="19" t="s">
        <v>423</v>
      </c>
    </row>
    <row r="4818" spans="1:2">
      <c r="A4818" s="19" t="s">
        <v>424</v>
      </c>
    </row>
    <row r="4820" spans="1:2">
      <c r="A4820" s="22" t="s">
        <v>407</v>
      </c>
    </row>
    <row r="4822" spans="1:2">
      <c r="A4822" s="22">
        <v>1</v>
      </c>
    </row>
    <row r="4824" spans="1:2">
      <c r="A4824" s="22" t="s">
        <v>1417</v>
      </c>
      <c r="B4824" s="22"/>
    </row>
    <row r="4826" spans="1:2">
      <c r="A4826" s="22" t="s">
        <v>507</v>
      </c>
      <c r="B4826" s="22"/>
    </row>
    <row r="4828" spans="1:2">
      <c r="A4828" s="19" t="s">
        <v>423</v>
      </c>
    </row>
    <row r="4830" spans="1:2">
      <c r="A4830" s="19" t="s">
        <v>424</v>
      </c>
    </row>
    <row r="4832" spans="1:2">
      <c r="A4832" s="22" t="s">
        <v>407</v>
      </c>
    </row>
    <row r="4834" spans="1:2">
      <c r="A4834" s="22">
        <v>4</v>
      </c>
    </row>
    <row r="4836" spans="1:2">
      <c r="A4836" s="22" t="s">
        <v>1418</v>
      </c>
      <c r="B4836" s="22"/>
    </row>
    <row r="4838" spans="1:2">
      <c r="A4838" s="22" t="s">
        <v>569</v>
      </c>
      <c r="B4838" s="22"/>
    </row>
    <row r="4840" spans="1:2">
      <c r="A4840" s="19" t="s">
        <v>423</v>
      </c>
    </row>
    <row r="4842" spans="1:2">
      <c r="A4842" s="19" t="s">
        <v>424</v>
      </c>
    </row>
    <row r="4844" spans="1:2">
      <c r="A4844" s="22" t="s">
        <v>407</v>
      </c>
    </row>
    <row r="4846" spans="1:2">
      <c r="A4846" s="22">
        <v>2</v>
      </c>
    </row>
    <row r="4848" spans="1:2">
      <c r="A4848" s="22" t="s">
        <v>1419</v>
      </c>
      <c r="B4848" s="22"/>
    </row>
    <row r="4850" spans="1:2">
      <c r="A4850" s="22" t="s">
        <v>1056</v>
      </c>
      <c r="B4850" s="22"/>
    </row>
    <row r="4852" spans="1:2">
      <c r="A4852" s="19" t="s">
        <v>423</v>
      </c>
    </row>
    <row r="4854" spans="1:2">
      <c r="A4854" s="19" t="s">
        <v>424</v>
      </c>
    </row>
    <row r="4856" spans="1:2">
      <c r="A4856" s="22" t="s">
        <v>407</v>
      </c>
    </row>
    <row r="4858" spans="1:2">
      <c r="A4858" s="22">
        <v>2</v>
      </c>
    </row>
    <row r="4860" spans="1:2">
      <c r="A4860" s="19" t="s">
        <v>2157</v>
      </c>
      <c r="B4860" s="19"/>
    </row>
    <row r="4862" spans="1:2">
      <c r="A4862" s="22" t="s">
        <v>133</v>
      </c>
    </row>
    <row r="4863" spans="1:2">
      <c r="A4863" s="22" t="s">
        <v>131</v>
      </c>
      <c r="B4863" s="22"/>
    </row>
    <row r="4864" spans="1:2">
      <c r="A4864" s="22" t="s">
        <v>389</v>
      </c>
      <c r="B4864" s="22"/>
    </row>
    <row r="4866" spans="1:2">
      <c r="A4866" s="19" t="s">
        <v>400</v>
      </c>
      <c r="B4866" s="19"/>
    </row>
    <row r="4868" spans="1:2" ht="36" customHeight="1">
      <c r="A4868" s="19" t="s">
        <v>2110</v>
      </c>
      <c r="B4868" s="19"/>
    </row>
    <row r="4870" spans="1:2" ht="14" customHeight="1">
      <c r="A4870" s="22" t="s">
        <v>1028</v>
      </c>
      <c r="B4870" s="22"/>
    </row>
    <row r="4872" spans="1:2">
      <c r="A4872" s="22" t="s">
        <v>1421</v>
      </c>
      <c r="B4872" s="22"/>
    </row>
    <row r="4874" spans="1:2" ht="16" customHeight="1">
      <c r="A4874" s="22" t="s">
        <v>1096</v>
      </c>
      <c r="B4874" s="22"/>
    </row>
    <row r="4876" spans="1:2" ht="14" customHeight="1">
      <c r="A4876" s="19" t="s">
        <v>406</v>
      </c>
    </row>
    <row r="4878" spans="1:2">
      <c r="A4878" s="22" t="s">
        <v>407</v>
      </c>
    </row>
    <row r="4880" spans="1:2">
      <c r="A4880" s="22">
        <v>3</v>
      </c>
    </row>
    <row r="4882" spans="1:2">
      <c r="A4882" s="22" t="s">
        <v>1422</v>
      </c>
      <c r="B4882" s="22"/>
    </row>
    <row r="4884" spans="1:2">
      <c r="A4884" s="22" t="s">
        <v>438</v>
      </c>
      <c r="B4884" s="22"/>
    </row>
    <row r="4886" spans="1:2">
      <c r="A4886" s="19" t="s">
        <v>423</v>
      </c>
    </row>
    <row r="4888" spans="1:2">
      <c r="A4888" s="19" t="s">
        <v>424</v>
      </c>
    </row>
    <row r="4890" spans="1:2">
      <c r="A4890" s="22" t="s">
        <v>407</v>
      </c>
    </row>
    <row r="4892" spans="1:2">
      <c r="A4892" s="22">
        <v>2</v>
      </c>
    </row>
    <row r="4894" spans="1:2">
      <c r="A4894" s="22" t="s">
        <v>1423</v>
      </c>
      <c r="B4894" s="22"/>
    </row>
    <row r="4896" spans="1:2">
      <c r="A4896" s="22" t="s">
        <v>418</v>
      </c>
      <c r="B4896" s="22"/>
    </row>
    <row r="4898" spans="1:2">
      <c r="A4898" s="19" t="s">
        <v>423</v>
      </c>
    </row>
    <row r="4900" spans="1:2">
      <c r="A4900" s="19" t="s">
        <v>424</v>
      </c>
    </row>
    <row r="4902" spans="1:2">
      <c r="A4902" s="22" t="s">
        <v>407</v>
      </c>
    </row>
    <row r="4904" spans="1:2">
      <c r="A4904" s="22">
        <v>3</v>
      </c>
    </row>
    <row r="4906" spans="1:2">
      <c r="A4906" s="22" t="s">
        <v>1424</v>
      </c>
      <c r="B4906" s="22"/>
    </row>
    <row r="4908" spans="1:2">
      <c r="A4908" s="22" t="s">
        <v>444</v>
      </c>
      <c r="B4908" s="22"/>
    </row>
    <row r="4910" spans="1:2">
      <c r="A4910" s="19" t="s">
        <v>423</v>
      </c>
    </row>
    <row r="4912" spans="1:2">
      <c r="A4912" s="19" t="s">
        <v>424</v>
      </c>
    </row>
    <row r="4914" spans="1:2">
      <c r="A4914" s="22" t="s">
        <v>407</v>
      </c>
    </row>
    <row r="4916" spans="1:2">
      <c r="A4916" s="22">
        <v>6</v>
      </c>
    </row>
    <row r="4918" spans="1:2">
      <c r="A4918" s="22" t="s">
        <v>1425</v>
      </c>
      <c r="B4918" s="22"/>
    </row>
    <row r="4920" spans="1:2">
      <c r="A4920" s="22" t="s">
        <v>495</v>
      </c>
      <c r="B4920" s="22"/>
    </row>
    <row r="4922" spans="1:2">
      <c r="A4922" s="19" t="s">
        <v>423</v>
      </c>
    </row>
    <row r="4924" spans="1:2">
      <c r="A4924" s="19" t="s">
        <v>424</v>
      </c>
    </row>
    <row r="4926" spans="1:2">
      <c r="A4926" s="22" t="s">
        <v>407</v>
      </c>
    </row>
    <row r="4928" spans="1:2">
      <c r="A4928" s="22">
        <v>6</v>
      </c>
    </row>
    <row r="4930" spans="1:2">
      <c r="A4930" s="22" t="s">
        <v>1426</v>
      </c>
      <c r="B4930" s="22"/>
    </row>
    <row r="4932" spans="1:2">
      <c r="A4932" s="22" t="s">
        <v>446</v>
      </c>
      <c r="B4932" s="22"/>
    </row>
    <row r="4934" spans="1:2">
      <c r="A4934" s="19" t="s">
        <v>423</v>
      </c>
    </row>
    <row r="4936" spans="1:2">
      <c r="A4936" s="19" t="s">
        <v>424</v>
      </c>
    </row>
    <row r="4938" spans="1:2">
      <c r="A4938" s="22" t="s">
        <v>407</v>
      </c>
    </row>
    <row r="4940" spans="1:2">
      <c r="A4940" s="22">
        <v>2</v>
      </c>
    </row>
    <row r="4942" spans="1:2">
      <c r="A4942" s="22" t="s">
        <v>1427</v>
      </c>
      <c r="B4942" s="22"/>
    </row>
    <row r="4944" spans="1:2">
      <c r="A4944" s="22" t="s">
        <v>432</v>
      </c>
      <c r="B4944" s="22"/>
    </row>
    <row r="4946" spans="1:2">
      <c r="A4946" s="19" t="s">
        <v>423</v>
      </c>
    </row>
    <row r="4948" spans="1:2">
      <c r="A4948" s="19" t="s">
        <v>424</v>
      </c>
    </row>
    <row r="4950" spans="1:2">
      <c r="A4950" s="22" t="s">
        <v>407</v>
      </c>
    </row>
    <row r="4952" spans="1:2">
      <c r="A4952" s="22">
        <v>3</v>
      </c>
    </row>
    <row r="4954" spans="1:2">
      <c r="A4954" s="22" t="s">
        <v>1428</v>
      </c>
      <c r="B4954" s="22"/>
    </row>
    <row r="4956" spans="1:2">
      <c r="A4956" s="22" t="s">
        <v>1280</v>
      </c>
      <c r="B4956" s="22"/>
    </row>
    <row r="4958" spans="1:2">
      <c r="A4958" s="19" t="s">
        <v>423</v>
      </c>
    </row>
    <row r="4960" spans="1:2">
      <c r="A4960" s="19" t="s">
        <v>424</v>
      </c>
    </row>
    <row r="4962" spans="1:2">
      <c r="A4962" s="22" t="s">
        <v>407</v>
      </c>
    </row>
    <row r="4964" spans="1:2">
      <c r="A4964" s="22">
        <v>2</v>
      </c>
    </row>
    <row r="4966" spans="1:2">
      <c r="A4966" s="19" t="s">
        <v>2158</v>
      </c>
      <c r="B4966" s="19"/>
    </row>
    <row r="4968" spans="1:2">
      <c r="A4968" s="22" t="s">
        <v>133</v>
      </c>
    </row>
    <row r="4969" spans="1:2">
      <c r="A4969" s="22" t="s">
        <v>131</v>
      </c>
      <c r="B4969" s="22"/>
    </row>
    <row r="4970" spans="1:2">
      <c r="A4970" s="22" t="s">
        <v>389</v>
      </c>
      <c r="B4970" s="22"/>
    </row>
    <row r="4972" spans="1:2">
      <c r="A4972" s="19" t="s">
        <v>400</v>
      </c>
      <c r="B4972" s="19"/>
    </row>
    <row r="4974" spans="1:2">
      <c r="A4974" s="19" t="s">
        <v>2110</v>
      </c>
      <c r="B4974" s="19"/>
    </row>
    <row r="4976" spans="1:2">
      <c r="A4976" s="22" t="s">
        <v>1028</v>
      </c>
      <c r="B4976" s="22"/>
    </row>
    <row r="4978" spans="1:2">
      <c r="A4978" s="22" t="s">
        <v>1429</v>
      </c>
      <c r="B4978" s="22"/>
    </row>
    <row r="4980" spans="1:2">
      <c r="A4980" s="22" t="s">
        <v>451</v>
      </c>
      <c r="B4980" s="22"/>
    </row>
    <row r="4982" spans="1:2">
      <c r="A4982" s="19" t="s">
        <v>406</v>
      </c>
    </row>
    <row r="4984" spans="1:2">
      <c r="A4984" s="22" t="s">
        <v>407</v>
      </c>
    </row>
    <row r="4986" spans="1:2">
      <c r="A4986" s="22">
        <v>2</v>
      </c>
    </row>
    <row r="4988" spans="1:2">
      <c r="A4988" s="22" t="s">
        <v>1430</v>
      </c>
      <c r="B4988" s="22"/>
    </row>
    <row r="4990" spans="1:2">
      <c r="A4990" s="22" t="s">
        <v>1431</v>
      </c>
      <c r="B4990" s="22"/>
    </row>
    <row r="4992" spans="1:2">
      <c r="A4992" s="19" t="s">
        <v>423</v>
      </c>
    </row>
    <row r="4994" spans="1:2">
      <c r="A4994" s="19" t="s">
        <v>424</v>
      </c>
    </row>
    <row r="4996" spans="1:2">
      <c r="A4996" s="22" t="s">
        <v>407</v>
      </c>
    </row>
    <row r="4998" spans="1:2">
      <c r="A4998" s="22">
        <v>2</v>
      </c>
    </row>
    <row r="5000" spans="1:2">
      <c r="A5000" s="22" t="s">
        <v>1432</v>
      </c>
      <c r="B5000" s="22"/>
    </row>
    <row r="5002" spans="1:2">
      <c r="A5002" s="22" t="s">
        <v>507</v>
      </c>
      <c r="B5002" s="22"/>
    </row>
    <row r="5004" spans="1:2">
      <c r="A5004" s="19" t="s">
        <v>423</v>
      </c>
    </row>
    <row r="5006" spans="1:2">
      <c r="A5006" s="19" t="s">
        <v>424</v>
      </c>
    </row>
    <row r="5008" spans="1:2">
      <c r="A5008" s="22" t="s">
        <v>407</v>
      </c>
    </row>
    <row r="5010" spans="1:2">
      <c r="A5010" s="22">
        <v>4</v>
      </c>
    </row>
    <row r="5012" spans="1:2">
      <c r="A5012" s="22" t="s">
        <v>1433</v>
      </c>
      <c r="B5012" s="22"/>
    </row>
    <row r="5014" spans="1:2">
      <c r="A5014" s="22" t="s">
        <v>507</v>
      </c>
      <c r="B5014" s="22"/>
    </row>
    <row r="5016" spans="1:2">
      <c r="A5016" s="19" t="s">
        <v>423</v>
      </c>
    </row>
    <row r="5018" spans="1:2">
      <c r="A5018" s="19" t="s">
        <v>424</v>
      </c>
    </row>
    <row r="5020" spans="1:2">
      <c r="A5020" s="22" t="s">
        <v>407</v>
      </c>
    </row>
    <row r="5022" spans="1:2">
      <c r="A5022" s="22">
        <v>4</v>
      </c>
    </row>
    <row r="5024" spans="1:2">
      <c r="A5024" s="22" t="s">
        <v>1434</v>
      </c>
      <c r="B5024" s="22"/>
    </row>
    <row r="5026" spans="1:2">
      <c r="A5026" s="22" t="s">
        <v>1138</v>
      </c>
      <c r="B5026" s="22"/>
    </row>
    <row r="5028" spans="1:2">
      <c r="A5028" s="19" t="s">
        <v>423</v>
      </c>
    </row>
    <row r="5030" spans="1:2">
      <c r="A5030" s="19" t="s">
        <v>424</v>
      </c>
    </row>
    <row r="5032" spans="1:2">
      <c r="A5032" s="22" t="s">
        <v>407</v>
      </c>
    </row>
    <row r="5034" spans="1:2">
      <c r="A5034" s="22">
        <v>2</v>
      </c>
    </row>
    <row r="5036" spans="1:2">
      <c r="A5036" s="22" t="s">
        <v>1435</v>
      </c>
      <c r="B5036" s="22"/>
    </row>
    <row r="5038" spans="1:2">
      <c r="A5038" s="22" t="s">
        <v>510</v>
      </c>
      <c r="B5038" s="22"/>
    </row>
    <row r="5040" spans="1:2">
      <c r="A5040" s="19" t="s">
        <v>423</v>
      </c>
    </row>
    <row r="5042" spans="1:2">
      <c r="A5042" s="19" t="s">
        <v>424</v>
      </c>
    </row>
    <row r="5044" spans="1:2">
      <c r="A5044" s="22" t="s">
        <v>407</v>
      </c>
    </row>
    <row r="5046" spans="1:2">
      <c r="A5046" s="22">
        <v>2</v>
      </c>
    </row>
    <row r="5048" spans="1:2">
      <c r="A5048" s="22" t="s">
        <v>1436</v>
      </c>
      <c r="B5048" s="22"/>
    </row>
    <row r="5050" spans="1:2">
      <c r="A5050" s="22" t="s">
        <v>460</v>
      </c>
      <c r="B5050" s="22"/>
    </row>
    <row r="5052" spans="1:2">
      <c r="A5052" s="19" t="s">
        <v>423</v>
      </c>
    </row>
    <row r="5054" spans="1:2">
      <c r="A5054" s="19" t="s">
        <v>424</v>
      </c>
    </row>
    <row r="5056" spans="1:2">
      <c r="A5056" s="22" t="s">
        <v>407</v>
      </c>
    </row>
    <row r="5058" spans="1:2">
      <c r="A5058" s="22">
        <v>10</v>
      </c>
    </row>
    <row r="5060" spans="1:2">
      <c r="A5060" s="22" t="s">
        <v>1437</v>
      </c>
      <c r="B5060" s="22"/>
    </row>
    <row r="5062" spans="1:2">
      <c r="A5062" s="22" t="s">
        <v>650</v>
      </c>
      <c r="B5062" s="22"/>
    </row>
    <row r="5064" spans="1:2">
      <c r="A5064" s="19" t="s">
        <v>423</v>
      </c>
    </row>
    <row r="5066" spans="1:2">
      <c r="A5066" s="19" t="s">
        <v>424</v>
      </c>
    </row>
    <row r="5068" spans="1:2">
      <c r="A5068" s="22" t="s">
        <v>407</v>
      </c>
    </row>
    <row r="5070" spans="1:2">
      <c r="A5070" s="22">
        <v>4</v>
      </c>
    </row>
    <row r="5072" spans="1:2">
      <c r="A5072" s="19" t="s">
        <v>2159</v>
      </c>
      <c r="B5072" s="19"/>
    </row>
    <row r="5074" spans="1:2">
      <c r="A5074" s="22" t="s">
        <v>133</v>
      </c>
    </row>
    <row r="5075" spans="1:2">
      <c r="A5075" s="22" t="s">
        <v>131</v>
      </c>
      <c r="B5075" s="22"/>
    </row>
    <row r="5076" spans="1:2">
      <c r="A5076" s="22" t="s">
        <v>389</v>
      </c>
      <c r="B5076" s="22"/>
    </row>
    <row r="5078" spans="1:2">
      <c r="A5078" s="19" t="s">
        <v>400</v>
      </c>
      <c r="B5078" s="19"/>
    </row>
    <row r="5080" spans="1:2">
      <c r="A5080" s="19" t="s">
        <v>2110</v>
      </c>
      <c r="B5080" s="19"/>
    </row>
    <row r="5082" spans="1:2">
      <c r="A5082" s="22" t="s">
        <v>1028</v>
      </c>
      <c r="B5082" s="22"/>
    </row>
    <row r="5084" spans="1:2">
      <c r="A5084" s="22" t="s">
        <v>1439</v>
      </c>
      <c r="B5084" s="22"/>
    </row>
    <row r="5086" spans="1:2">
      <c r="A5086" s="22" t="s">
        <v>709</v>
      </c>
      <c r="B5086" s="22"/>
    </row>
    <row r="5088" spans="1:2">
      <c r="A5088" s="19" t="s">
        <v>406</v>
      </c>
    </row>
    <row r="5090" spans="1:2">
      <c r="A5090" s="22" t="s">
        <v>407</v>
      </c>
    </row>
    <row r="5092" spans="1:2">
      <c r="A5092" s="22">
        <v>2</v>
      </c>
    </row>
    <row r="5094" spans="1:2">
      <c r="A5094" s="22" t="s">
        <v>1440</v>
      </c>
      <c r="B5094" s="22"/>
    </row>
    <row r="5096" spans="1:2">
      <c r="A5096" s="22" t="s">
        <v>717</v>
      </c>
      <c r="B5096" s="22"/>
    </row>
    <row r="5098" spans="1:2">
      <c r="A5098" s="19" t="s">
        <v>423</v>
      </c>
    </row>
    <row r="5100" spans="1:2">
      <c r="A5100" s="19" t="s">
        <v>424</v>
      </c>
    </row>
    <row r="5102" spans="1:2">
      <c r="A5102" s="22" t="s">
        <v>407</v>
      </c>
    </row>
    <row r="5104" spans="1:2">
      <c r="A5104" s="22">
        <v>2</v>
      </c>
    </row>
    <row r="5106" spans="1:2">
      <c r="A5106" s="22" t="s">
        <v>1441</v>
      </c>
      <c r="B5106" s="22"/>
    </row>
    <row r="5108" spans="1:2">
      <c r="A5108" s="22" t="s">
        <v>614</v>
      </c>
      <c r="B5108" s="22"/>
    </row>
    <row r="5110" spans="1:2">
      <c r="A5110" s="19" t="s">
        <v>423</v>
      </c>
    </row>
    <row r="5112" spans="1:2">
      <c r="A5112" s="19" t="s">
        <v>424</v>
      </c>
    </row>
    <row r="5114" spans="1:2">
      <c r="A5114" s="22" t="s">
        <v>407</v>
      </c>
    </row>
    <row r="5116" spans="1:2">
      <c r="A5116" s="22">
        <v>6</v>
      </c>
    </row>
    <row r="5118" spans="1:2">
      <c r="A5118" s="22" t="s">
        <v>1442</v>
      </c>
      <c r="B5118" s="22"/>
    </row>
    <row r="5120" spans="1:2">
      <c r="A5120" s="22" t="s">
        <v>841</v>
      </c>
      <c r="B5120" s="22"/>
    </row>
    <row r="5122" spans="1:2">
      <c r="A5122" s="19" t="s">
        <v>423</v>
      </c>
    </row>
    <row r="5124" spans="1:2">
      <c r="A5124" s="19" t="s">
        <v>424</v>
      </c>
    </row>
    <row r="5126" spans="1:2">
      <c r="A5126" s="22" t="s">
        <v>407</v>
      </c>
    </row>
    <row r="5128" spans="1:2">
      <c r="A5128" s="22">
        <v>2</v>
      </c>
    </row>
    <row r="5130" spans="1:2">
      <c r="A5130" s="22" t="s">
        <v>1443</v>
      </c>
      <c r="B5130" s="22"/>
    </row>
    <row r="5132" spans="1:2">
      <c r="A5132" s="22" t="s">
        <v>446</v>
      </c>
      <c r="B5132" s="22"/>
    </row>
    <row r="5134" spans="1:2">
      <c r="A5134" s="19" t="s">
        <v>423</v>
      </c>
    </row>
    <row r="5136" spans="1:2">
      <c r="A5136" s="19" t="s">
        <v>424</v>
      </c>
    </row>
    <row r="5138" spans="1:2">
      <c r="A5138" s="22" t="s">
        <v>407</v>
      </c>
    </row>
    <row r="5140" spans="1:2">
      <c r="A5140" s="22">
        <v>2</v>
      </c>
    </row>
    <row r="5142" spans="1:2">
      <c r="A5142" s="22" t="s">
        <v>1444</v>
      </c>
      <c r="B5142" s="22"/>
    </row>
    <row r="5144" spans="1:2">
      <c r="A5144" s="22" t="s">
        <v>521</v>
      </c>
      <c r="B5144" s="22"/>
    </row>
    <row r="5146" spans="1:2">
      <c r="A5146" s="19" t="s">
        <v>423</v>
      </c>
    </row>
    <row r="5148" spans="1:2">
      <c r="A5148" s="19" t="s">
        <v>424</v>
      </c>
    </row>
    <row r="5150" spans="1:2">
      <c r="A5150" s="22" t="s">
        <v>407</v>
      </c>
    </row>
    <row r="5152" spans="1:2">
      <c r="A5152" s="22">
        <v>2</v>
      </c>
    </row>
    <row r="5154" spans="1:2">
      <c r="A5154" s="22" t="s">
        <v>1445</v>
      </c>
      <c r="B5154" s="22"/>
    </row>
    <row r="5156" spans="1:2">
      <c r="A5156" s="22" t="s">
        <v>473</v>
      </c>
      <c r="B5156" s="22"/>
    </row>
    <row r="5158" spans="1:2">
      <c r="A5158" s="19" t="s">
        <v>423</v>
      </c>
    </row>
    <row r="5160" spans="1:2">
      <c r="A5160" s="19" t="s">
        <v>424</v>
      </c>
    </row>
    <row r="5162" spans="1:2">
      <c r="A5162" s="22" t="s">
        <v>407</v>
      </c>
    </row>
    <row r="5164" spans="1:2">
      <c r="A5164" s="22">
        <v>3</v>
      </c>
    </row>
    <row r="5166" spans="1:2">
      <c r="A5166" s="22" t="s">
        <v>1446</v>
      </c>
      <c r="B5166" s="22"/>
    </row>
    <row r="5168" spans="1:2">
      <c r="A5168" s="22" t="s">
        <v>473</v>
      </c>
      <c r="B5168" s="22"/>
    </row>
    <row r="5170" spans="1:2">
      <c r="A5170" s="19" t="s">
        <v>423</v>
      </c>
    </row>
    <row r="5172" spans="1:2">
      <c r="A5172" s="19" t="s">
        <v>424</v>
      </c>
    </row>
    <row r="5174" spans="1:2">
      <c r="A5174" s="22" t="s">
        <v>407</v>
      </c>
    </row>
    <row r="5176" spans="1:2">
      <c r="A5176" s="22">
        <v>3</v>
      </c>
    </row>
    <row r="5178" spans="1:2">
      <c r="A5178" s="19" t="s">
        <v>2160</v>
      </c>
      <c r="B5178" s="19"/>
    </row>
    <row r="5180" spans="1:2">
      <c r="A5180" s="22" t="s">
        <v>133</v>
      </c>
    </row>
    <row r="5181" spans="1:2">
      <c r="A5181" s="22" t="s">
        <v>131</v>
      </c>
      <c r="B5181" s="22"/>
    </row>
    <row r="5182" spans="1:2">
      <c r="A5182" s="22" t="s">
        <v>389</v>
      </c>
      <c r="B5182" s="22"/>
    </row>
    <row r="5184" spans="1:2">
      <c r="A5184" s="19" t="s">
        <v>400</v>
      </c>
      <c r="B5184" s="19"/>
    </row>
    <row r="5186" spans="1:2">
      <c r="A5186" s="19" t="s">
        <v>2110</v>
      </c>
      <c r="B5186" s="19"/>
    </row>
    <row r="5188" spans="1:2">
      <c r="A5188" s="22" t="s">
        <v>1028</v>
      </c>
      <c r="B5188" s="22"/>
    </row>
    <row r="5190" spans="1:2">
      <c r="A5190" s="22" t="s">
        <v>1448</v>
      </c>
      <c r="B5190" s="22"/>
    </row>
    <row r="5192" spans="1:2">
      <c r="A5192" s="22" t="s">
        <v>881</v>
      </c>
      <c r="B5192" s="22"/>
    </row>
    <row r="5194" spans="1:2">
      <c r="A5194" s="19" t="s">
        <v>406</v>
      </c>
    </row>
    <row r="5196" spans="1:2">
      <c r="A5196" s="22" t="s">
        <v>407</v>
      </c>
    </row>
    <row r="5198" spans="1:2">
      <c r="A5198" s="22">
        <v>4</v>
      </c>
    </row>
    <row r="5200" spans="1:2">
      <c r="A5200" s="22" t="s">
        <v>1449</v>
      </c>
      <c r="B5200" s="22"/>
    </row>
    <row r="5202" spans="1:2">
      <c r="A5202" s="22" t="s">
        <v>626</v>
      </c>
      <c r="B5202" s="22"/>
    </row>
    <row r="5204" spans="1:2">
      <c r="A5204" s="19" t="s">
        <v>423</v>
      </c>
    </row>
    <row r="5206" spans="1:2">
      <c r="A5206" s="19" t="s">
        <v>424</v>
      </c>
    </row>
    <row r="5208" spans="1:2">
      <c r="A5208" s="22" t="s">
        <v>407</v>
      </c>
    </row>
    <row r="5210" spans="1:2">
      <c r="A5210" s="22">
        <v>2</v>
      </c>
    </row>
    <row r="5212" spans="1:2">
      <c r="A5212" s="22" t="s">
        <v>1450</v>
      </c>
      <c r="B5212" s="22"/>
    </row>
    <row r="5214" spans="1:2">
      <c r="A5214" s="22" t="s">
        <v>448</v>
      </c>
      <c r="B5214" s="22"/>
    </row>
    <row r="5216" spans="1:2">
      <c r="A5216" s="19" t="s">
        <v>423</v>
      </c>
    </row>
    <row r="5218" spans="1:2">
      <c r="A5218" s="19" t="s">
        <v>424</v>
      </c>
    </row>
    <row r="5220" spans="1:2">
      <c r="A5220" s="22" t="s">
        <v>407</v>
      </c>
    </row>
    <row r="5222" spans="1:2">
      <c r="A5222" s="22">
        <v>3</v>
      </c>
    </row>
    <row r="5224" spans="1:2">
      <c r="A5224" s="22" t="s">
        <v>1451</v>
      </c>
      <c r="B5224" s="22"/>
    </row>
    <row r="5226" spans="1:2">
      <c r="A5226" s="22" t="s">
        <v>630</v>
      </c>
      <c r="B5226" s="22"/>
    </row>
    <row r="5228" spans="1:2">
      <c r="A5228" s="19" t="s">
        <v>423</v>
      </c>
    </row>
    <row r="5230" spans="1:2">
      <c r="A5230" s="19" t="s">
        <v>424</v>
      </c>
    </row>
    <row r="5232" spans="1:2">
      <c r="A5232" s="22" t="s">
        <v>407</v>
      </c>
    </row>
    <row r="5234" spans="1:2">
      <c r="A5234" s="22">
        <v>6</v>
      </c>
    </row>
    <row r="5236" spans="1:2">
      <c r="A5236" s="22" t="s">
        <v>1452</v>
      </c>
      <c r="B5236" s="22"/>
    </row>
    <row r="5238" spans="1:2">
      <c r="A5238" s="22" t="s">
        <v>777</v>
      </c>
      <c r="B5238" s="22"/>
    </row>
    <row r="5240" spans="1:2">
      <c r="A5240" s="19" t="s">
        <v>423</v>
      </c>
    </row>
    <row r="5242" spans="1:2">
      <c r="A5242" s="19" t="s">
        <v>424</v>
      </c>
    </row>
    <row r="5244" spans="1:2">
      <c r="A5244" s="22" t="s">
        <v>407</v>
      </c>
    </row>
    <row r="5246" spans="1:2">
      <c r="A5246" s="22">
        <v>3</v>
      </c>
    </row>
    <row r="5248" spans="1:2">
      <c r="A5248" s="22" t="s">
        <v>1453</v>
      </c>
      <c r="B5248" s="22"/>
    </row>
    <row r="5250" spans="1:2">
      <c r="A5250" s="22" t="s">
        <v>532</v>
      </c>
      <c r="B5250" s="22"/>
    </row>
    <row r="5252" spans="1:2">
      <c r="A5252" s="19" t="s">
        <v>423</v>
      </c>
    </row>
    <row r="5254" spans="1:2">
      <c r="A5254" s="19" t="s">
        <v>424</v>
      </c>
    </row>
    <row r="5256" spans="1:2">
      <c r="A5256" s="22" t="s">
        <v>407</v>
      </c>
    </row>
    <row r="5258" spans="1:2">
      <c r="A5258" s="22">
        <v>3</v>
      </c>
    </row>
    <row r="5260" spans="1:2">
      <c r="A5260" s="22" t="s">
        <v>1454</v>
      </c>
      <c r="B5260" s="22"/>
    </row>
    <row r="5262" spans="1:2">
      <c r="A5262" s="22" t="s">
        <v>481</v>
      </c>
      <c r="B5262" s="22"/>
    </row>
    <row r="5264" spans="1:2">
      <c r="A5264" s="19" t="s">
        <v>423</v>
      </c>
    </row>
    <row r="5266" spans="1:2">
      <c r="A5266" s="19" t="s">
        <v>424</v>
      </c>
    </row>
    <row r="5268" spans="1:2">
      <c r="A5268" s="22" t="s">
        <v>407</v>
      </c>
    </row>
    <row r="5270" spans="1:2">
      <c r="A5270" s="22">
        <v>2</v>
      </c>
    </row>
    <row r="5272" spans="1:2">
      <c r="A5272" s="22" t="s">
        <v>1455</v>
      </c>
      <c r="B5272" s="22"/>
    </row>
    <row r="5274" spans="1:2">
      <c r="A5274" s="22" t="s">
        <v>469</v>
      </c>
      <c r="B5274" s="22"/>
    </row>
    <row r="5276" spans="1:2">
      <c r="A5276" s="19" t="s">
        <v>423</v>
      </c>
    </row>
    <row r="5278" spans="1:2">
      <c r="A5278" s="19" t="s">
        <v>424</v>
      </c>
    </row>
    <row r="5280" spans="1:2">
      <c r="A5280" s="22" t="s">
        <v>407</v>
      </c>
    </row>
    <row r="5282" spans="1:2">
      <c r="A5282" s="22">
        <v>2</v>
      </c>
    </row>
    <row r="5284" spans="1:2">
      <c r="A5284" s="19" t="s">
        <v>2161</v>
      </c>
      <c r="B5284" s="19"/>
    </row>
    <row r="5286" spans="1:2">
      <c r="A5286" s="22" t="s">
        <v>133</v>
      </c>
    </row>
    <row r="5287" spans="1:2">
      <c r="A5287" s="22" t="s">
        <v>131</v>
      </c>
      <c r="B5287" s="22"/>
    </row>
    <row r="5288" spans="1:2">
      <c r="A5288" s="22" t="s">
        <v>389</v>
      </c>
      <c r="B5288" s="22"/>
    </row>
    <row r="5290" spans="1:2">
      <c r="A5290" s="19" t="s">
        <v>400</v>
      </c>
      <c r="B5290" s="19"/>
    </row>
    <row r="5292" spans="1:2">
      <c r="A5292" s="19" t="s">
        <v>2110</v>
      </c>
      <c r="B5292" s="19"/>
    </row>
    <row r="5294" spans="1:2">
      <c r="A5294" s="22" t="s">
        <v>1028</v>
      </c>
      <c r="B5294" s="22"/>
    </row>
    <row r="5296" spans="1:2">
      <c r="A5296" s="22" t="s">
        <v>1457</v>
      </c>
      <c r="B5296" s="22"/>
    </row>
    <row r="5298" spans="1:2">
      <c r="A5298" s="22" t="s">
        <v>532</v>
      </c>
      <c r="B5298" s="22"/>
    </row>
    <row r="5300" spans="1:2">
      <c r="A5300" s="19" t="s">
        <v>406</v>
      </c>
    </row>
    <row r="5302" spans="1:2">
      <c r="A5302" s="22" t="s">
        <v>407</v>
      </c>
    </row>
    <row r="5304" spans="1:2">
      <c r="A5304" s="22">
        <v>3</v>
      </c>
    </row>
    <row r="5306" spans="1:2">
      <c r="A5306" s="22" t="s">
        <v>1458</v>
      </c>
      <c r="B5306" s="22"/>
    </row>
    <row r="5308" spans="1:2">
      <c r="A5308" s="22" t="s">
        <v>538</v>
      </c>
      <c r="B5308" s="22"/>
    </row>
    <row r="5310" spans="1:2">
      <c r="A5310" s="19" t="s">
        <v>423</v>
      </c>
    </row>
    <row r="5312" spans="1:2">
      <c r="A5312" s="19" t="s">
        <v>424</v>
      </c>
    </row>
    <row r="5314" spans="1:2">
      <c r="A5314" s="22" t="s">
        <v>407</v>
      </c>
    </row>
    <row r="5316" spans="1:2">
      <c r="A5316" s="22">
        <v>2</v>
      </c>
    </row>
    <row r="5318" spans="1:2">
      <c r="A5318" s="22" t="s">
        <v>1459</v>
      </c>
      <c r="B5318" s="22"/>
    </row>
    <row r="5320" spans="1:2">
      <c r="A5320" s="22" t="s">
        <v>1431</v>
      </c>
      <c r="B5320" s="22"/>
    </row>
    <row r="5322" spans="1:2">
      <c r="A5322" s="19" t="s">
        <v>423</v>
      </c>
    </row>
    <row r="5324" spans="1:2">
      <c r="A5324" s="19" t="s">
        <v>424</v>
      </c>
    </row>
    <row r="5326" spans="1:2">
      <c r="A5326" s="22" t="s">
        <v>407</v>
      </c>
    </row>
    <row r="5328" spans="1:2">
      <c r="A5328" s="22">
        <v>2</v>
      </c>
    </row>
    <row r="5330" spans="1:2">
      <c r="A5330" s="22" t="s">
        <v>1460</v>
      </c>
      <c r="B5330" s="22"/>
    </row>
    <row r="5332" spans="1:2">
      <c r="A5332" s="22" t="s">
        <v>641</v>
      </c>
      <c r="B5332" s="22"/>
    </row>
    <row r="5334" spans="1:2">
      <c r="A5334" s="19" t="s">
        <v>423</v>
      </c>
    </row>
    <row r="5336" spans="1:2">
      <c r="A5336" s="19" t="s">
        <v>424</v>
      </c>
    </row>
    <row r="5338" spans="1:2">
      <c r="A5338" s="22" t="s">
        <v>407</v>
      </c>
    </row>
    <row r="5340" spans="1:2">
      <c r="A5340" s="22">
        <v>2</v>
      </c>
    </row>
    <row r="5342" spans="1:2">
      <c r="A5342" s="22" t="s">
        <v>1461</v>
      </c>
      <c r="B5342" s="22"/>
    </row>
    <row r="5344" spans="1:2">
      <c r="A5344" s="22" t="s">
        <v>650</v>
      </c>
      <c r="B5344" s="22"/>
    </row>
    <row r="5346" spans="1:2">
      <c r="A5346" s="19" t="s">
        <v>423</v>
      </c>
    </row>
    <row r="5348" spans="1:2">
      <c r="A5348" s="19" t="s">
        <v>424</v>
      </c>
    </row>
    <row r="5350" spans="1:2">
      <c r="A5350" s="22" t="s">
        <v>407</v>
      </c>
    </row>
    <row r="5352" spans="1:2">
      <c r="A5352" s="22">
        <v>6</v>
      </c>
    </row>
    <row r="5354" spans="1:2">
      <c r="A5354" s="22" t="s">
        <v>1462</v>
      </c>
      <c r="B5354" s="22"/>
    </row>
    <row r="5356" spans="1:2">
      <c r="A5356" s="22" t="s">
        <v>456</v>
      </c>
      <c r="B5356" s="22"/>
    </row>
    <row r="5358" spans="1:2">
      <c r="A5358" s="19" t="s">
        <v>423</v>
      </c>
    </row>
    <row r="5360" spans="1:2">
      <c r="A5360" s="19" t="s">
        <v>424</v>
      </c>
    </row>
    <row r="5362" spans="1:2">
      <c r="A5362" s="22" t="s">
        <v>407</v>
      </c>
    </row>
    <row r="5364" spans="1:2">
      <c r="A5364" s="22">
        <v>3</v>
      </c>
    </row>
    <row r="5366" spans="1:2">
      <c r="A5366" s="22" t="s">
        <v>1463</v>
      </c>
      <c r="B5366" s="22"/>
    </row>
    <row r="5368" spans="1:2">
      <c r="A5368" s="22" t="s">
        <v>456</v>
      </c>
      <c r="B5368" s="22"/>
    </row>
    <row r="5370" spans="1:2">
      <c r="A5370" s="19" t="s">
        <v>423</v>
      </c>
    </row>
    <row r="5372" spans="1:2">
      <c r="A5372" s="19" t="s">
        <v>424</v>
      </c>
    </row>
    <row r="5374" spans="1:2">
      <c r="A5374" s="22" t="s">
        <v>407</v>
      </c>
    </row>
    <row r="5376" spans="1:2">
      <c r="A5376" s="22">
        <v>3</v>
      </c>
    </row>
    <row r="5378" spans="1:2">
      <c r="A5378" s="22" t="s">
        <v>1464</v>
      </c>
      <c r="B5378" s="22"/>
    </row>
    <row r="5380" spans="1:2">
      <c r="A5380" s="22" t="s">
        <v>672</v>
      </c>
      <c r="B5380" s="22"/>
    </row>
    <row r="5382" spans="1:2">
      <c r="A5382" s="19" t="s">
        <v>423</v>
      </c>
    </row>
    <row r="5384" spans="1:2">
      <c r="A5384" s="19" t="s">
        <v>424</v>
      </c>
    </row>
    <row r="5386" spans="1:2">
      <c r="A5386" s="22" t="s">
        <v>407</v>
      </c>
    </row>
    <row r="5388" spans="1:2">
      <c r="A5388" s="22">
        <v>3</v>
      </c>
    </row>
    <row r="5390" spans="1:2">
      <c r="A5390" s="19" t="s">
        <v>2162</v>
      </c>
      <c r="B5390" s="19"/>
    </row>
    <row r="5392" spans="1:2">
      <c r="A5392" s="22" t="s">
        <v>133</v>
      </c>
    </row>
    <row r="5393" spans="1:2">
      <c r="A5393" s="22" t="s">
        <v>131</v>
      </c>
      <c r="B5393" s="22"/>
    </row>
    <row r="5394" spans="1:2">
      <c r="A5394" s="22" t="s">
        <v>389</v>
      </c>
      <c r="B5394" s="22"/>
    </row>
    <row r="5396" spans="1:2">
      <c r="A5396" s="19" t="s">
        <v>400</v>
      </c>
      <c r="B5396" s="19"/>
    </row>
    <row r="5398" spans="1:2">
      <c r="A5398" s="19" t="s">
        <v>2110</v>
      </c>
      <c r="B5398" s="19"/>
    </row>
    <row r="5400" spans="1:2">
      <c r="A5400" s="22" t="s">
        <v>1028</v>
      </c>
      <c r="B5400" s="22"/>
    </row>
    <row r="5402" spans="1:2">
      <c r="A5402" s="22" t="s">
        <v>1466</v>
      </c>
      <c r="B5402" s="22"/>
    </row>
    <row r="5404" spans="1:2">
      <c r="A5404" s="22" t="s">
        <v>540</v>
      </c>
      <c r="B5404" s="22"/>
    </row>
    <row r="5406" spans="1:2">
      <c r="A5406" s="19" t="s">
        <v>406</v>
      </c>
    </row>
    <row r="5408" spans="1:2">
      <c r="A5408" s="22" t="s">
        <v>407</v>
      </c>
    </row>
    <row r="5410" spans="1:2">
      <c r="A5410" s="22">
        <v>3</v>
      </c>
    </row>
    <row r="5412" spans="1:2">
      <c r="A5412" s="22" t="s">
        <v>1467</v>
      </c>
      <c r="B5412" s="22"/>
    </row>
    <row r="5414" spans="1:2">
      <c r="A5414" s="22" t="s">
        <v>544</v>
      </c>
      <c r="B5414" s="22"/>
    </row>
    <row r="5416" spans="1:2">
      <c r="A5416" s="19" t="s">
        <v>423</v>
      </c>
    </row>
    <row r="5418" spans="1:2">
      <c r="A5418" s="19" t="s">
        <v>424</v>
      </c>
    </row>
    <row r="5420" spans="1:2">
      <c r="A5420" s="22" t="s">
        <v>407</v>
      </c>
    </row>
    <row r="5422" spans="1:2">
      <c r="A5422" s="22">
        <v>3</v>
      </c>
    </row>
    <row r="5424" spans="1:2">
      <c r="A5424" s="22" t="s">
        <v>1468</v>
      </c>
      <c r="B5424" s="22"/>
    </row>
    <row r="5426" spans="1:2">
      <c r="A5426" s="22" t="s">
        <v>1469</v>
      </c>
      <c r="B5426" s="22"/>
    </row>
    <row r="5428" spans="1:2">
      <c r="A5428" s="19" t="s">
        <v>423</v>
      </c>
    </row>
    <row r="5430" spans="1:2">
      <c r="A5430" s="19" t="s">
        <v>424</v>
      </c>
    </row>
    <row r="5432" spans="1:2">
      <c r="A5432" s="22" t="s">
        <v>407</v>
      </c>
    </row>
    <row r="5434" spans="1:2">
      <c r="A5434" s="22">
        <v>3</v>
      </c>
    </row>
    <row r="5436" spans="1:2">
      <c r="A5436" s="22" t="s">
        <v>1470</v>
      </c>
      <c r="B5436" s="22"/>
    </row>
    <row r="5438" spans="1:2">
      <c r="A5438" s="22" t="s">
        <v>489</v>
      </c>
      <c r="B5438" s="22"/>
    </row>
    <row r="5440" spans="1:2">
      <c r="A5440" s="19" t="s">
        <v>423</v>
      </c>
    </row>
    <row r="5442" spans="1:2">
      <c r="A5442" s="19" t="s">
        <v>424</v>
      </c>
    </row>
    <row r="5444" spans="1:2">
      <c r="A5444" s="22" t="s">
        <v>407</v>
      </c>
    </row>
    <row r="5446" spans="1:2">
      <c r="A5446" s="22">
        <v>2</v>
      </c>
    </row>
    <row r="5448" spans="1:2">
      <c r="A5448" s="22" t="s">
        <v>1471</v>
      </c>
      <c r="B5448" s="22"/>
    </row>
    <row r="5450" spans="1:2">
      <c r="A5450" s="22" t="s">
        <v>679</v>
      </c>
      <c r="B5450" s="22"/>
    </row>
    <row r="5452" spans="1:2">
      <c r="A5452" s="19" t="s">
        <v>423</v>
      </c>
    </row>
    <row r="5454" spans="1:2">
      <c r="A5454" s="19" t="s">
        <v>424</v>
      </c>
    </row>
    <row r="5456" spans="1:2">
      <c r="A5456" s="22" t="s">
        <v>407</v>
      </c>
    </row>
    <row r="5458" spans="1:2">
      <c r="A5458" s="22">
        <v>2</v>
      </c>
    </row>
    <row r="5460" spans="1:2">
      <c r="A5460" s="22" t="s">
        <v>1472</v>
      </c>
      <c r="B5460" s="22"/>
    </row>
    <row r="5462" spans="1:2">
      <c r="A5462" s="22" t="s">
        <v>652</v>
      </c>
      <c r="B5462" s="22"/>
    </row>
    <row r="5464" spans="1:2">
      <c r="A5464" s="19" t="s">
        <v>423</v>
      </c>
    </row>
    <row r="5466" spans="1:2">
      <c r="A5466" s="19" t="s">
        <v>424</v>
      </c>
    </row>
    <row r="5468" spans="1:2">
      <c r="A5468" s="22" t="s">
        <v>407</v>
      </c>
    </row>
    <row r="5470" spans="1:2">
      <c r="A5470" s="22">
        <v>2</v>
      </c>
    </row>
    <row r="5472" spans="1:2">
      <c r="A5472" s="22" t="s">
        <v>1473</v>
      </c>
      <c r="B5472" s="22"/>
    </row>
    <row r="5474" spans="1:2">
      <c r="A5474" s="22" t="s">
        <v>1108</v>
      </c>
      <c r="B5474" s="22"/>
    </row>
    <row r="5476" spans="1:2">
      <c r="A5476" s="19" t="s">
        <v>423</v>
      </c>
    </row>
    <row r="5478" spans="1:2">
      <c r="A5478" s="19" t="s">
        <v>424</v>
      </c>
    </row>
    <row r="5480" spans="1:2">
      <c r="A5480" s="22" t="s">
        <v>407</v>
      </c>
    </row>
    <row r="5482" spans="1:2">
      <c r="A5482" s="22">
        <v>2</v>
      </c>
    </row>
    <row r="5484" spans="1:2">
      <c r="A5484" s="22" t="s">
        <v>1474</v>
      </c>
      <c r="B5484" s="22"/>
    </row>
    <row r="5486" spans="1:2">
      <c r="A5486" s="22" t="s">
        <v>595</v>
      </c>
      <c r="B5486" s="22"/>
    </row>
    <row r="5488" spans="1:2">
      <c r="A5488" s="19" t="s">
        <v>423</v>
      </c>
    </row>
    <row r="5490" spans="1:2">
      <c r="A5490" s="19" t="s">
        <v>424</v>
      </c>
    </row>
    <row r="5492" spans="1:2">
      <c r="A5492" s="22" t="s">
        <v>407</v>
      </c>
    </row>
    <row r="5494" spans="1:2">
      <c r="A5494" s="22">
        <v>6</v>
      </c>
    </row>
    <row r="5496" spans="1:2">
      <c r="A5496" s="19" t="s">
        <v>2163</v>
      </c>
      <c r="B5496" s="19"/>
    </row>
    <row r="5498" spans="1:2">
      <c r="A5498" s="22" t="s">
        <v>133</v>
      </c>
    </row>
    <row r="5499" spans="1:2">
      <c r="A5499" s="22" t="s">
        <v>131</v>
      </c>
      <c r="B5499" s="22"/>
    </row>
    <row r="5500" spans="1:2">
      <c r="A5500" s="22" t="s">
        <v>389</v>
      </c>
      <c r="B5500" s="22"/>
    </row>
    <row r="5502" spans="1:2">
      <c r="A5502" s="19" t="s">
        <v>400</v>
      </c>
      <c r="B5502" s="19"/>
    </row>
    <row r="5504" spans="1:2">
      <c r="A5504" s="19" t="s">
        <v>2110</v>
      </c>
      <c r="B5504" s="19"/>
    </row>
    <row r="5506" spans="1:2">
      <c r="A5506" s="22" t="s">
        <v>1028</v>
      </c>
      <c r="B5506" s="22"/>
    </row>
    <row r="5508" spans="1:2">
      <c r="A5508" s="22" t="s">
        <v>1476</v>
      </c>
      <c r="B5508" s="22"/>
    </row>
    <row r="5510" spans="1:2">
      <c r="A5510" s="22" t="s">
        <v>507</v>
      </c>
      <c r="B5510" s="22"/>
    </row>
    <row r="5512" spans="1:2">
      <c r="A5512" s="19" t="s">
        <v>406</v>
      </c>
    </row>
    <row r="5514" spans="1:2">
      <c r="A5514" s="22" t="s">
        <v>407</v>
      </c>
    </row>
    <row r="5516" spans="1:2">
      <c r="A5516" s="22">
        <v>4</v>
      </c>
    </row>
    <row r="5518" spans="1:2">
      <c r="A5518" s="22" t="s">
        <v>1477</v>
      </c>
      <c r="B5518" s="22"/>
    </row>
    <row r="5520" spans="1:2">
      <c r="A5520" s="22" t="s">
        <v>650</v>
      </c>
      <c r="B5520" s="22"/>
    </row>
    <row r="5522" spans="1:2">
      <c r="A5522" s="19" t="s">
        <v>423</v>
      </c>
    </row>
    <row r="5524" spans="1:2">
      <c r="A5524" s="19" t="s">
        <v>424</v>
      </c>
    </row>
    <row r="5526" spans="1:2">
      <c r="A5526" s="22" t="s">
        <v>407</v>
      </c>
    </row>
    <row r="5528" spans="1:2">
      <c r="A5528" s="22">
        <v>6</v>
      </c>
    </row>
    <row r="5530" spans="1:2">
      <c r="A5530" s="22" t="s">
        <v>1478</v>
      </c>
      <c r="B5530" s="22"/>
    </row>
    <row r="5532" spans="1:2">
      <c r="A5532" s="22" t="s">
        <v>428</v>
      </c>
      <c r="B5532" s="22"/>
    </row>
    <row r="5534" spans="1:2">
      <c r="A5534" s="19" t="s">
        <v>423</v>
      </c>
    </row>
    <row r="5536" spans="1:2">
      <c r="A5536" s="19" t="s">
        <v>424</v>
      </c>
    </row>
    <row r="5538" spans="1:2">
      <c r="A5538" s="22" t="s">
        <v>407</v>
      </c>
    </row>
    <row r="5540" spans="1:2">
      <c r="A5540" s="22">
        <v>1</v>
      </c>
    </row>
    <row r="5542" spans="1:2">
      <c r="A5542" s="22" t="s">
        <v>1479</v>
      </c>
      <c r="B5542" s="22"/>
    </row>
    <row r="5544" spans="1:2">
      <c r="A5544" s="22" t="s">
        <v>428</v>
      </c>
      <c r="B5544" s="22"/>
    </row>
    <row r="5546" spans="1:2">
      <c r="A5546" s="19" t="s">
        <v>423</v>
      </c>
    </row>
    <row r="5548" spans="1:2">
      <c r="A5548" s="19" t="s">
        <v>424</v>
      </c>
    </row>
    <row r="5550" spans="1:2">
      <c r="A5550" s="22" t="s">
        <v>407</v>
      </c>
    </row>
    <row r="5552" spans="1:2">
      <c r="A5552" s="22">
        <v>1</v>
      </c>
    </row>
    <row r="5554" spans="1:2">
      <c r="A5554" s="22" t="s">
        <v>1480</v>
      </c>
      <c r="B5554" s="22"/>
    </row>
    <row r="5556" spans="1:2">
      <c r="A5556" s="22" t="s">
        <v>418</v>
      </c>
      <c r="B5556" s="22"/>
    </row>
    <row r="5558" spans="1:2">
      <c r="A5558" s="19" t="s">
        <v>423</v>
      </c>
    </row>
    <row r="5560" spans="1:2">
      <c r="A5560" s="19" t="s">
        <v>424</v>
      </c>
    </row>
    <row r="5562" spans="1:2">
      <c r="A5562" s="22" t="s">
        <v>407</v>
      </c>
    </row>
    <row r="5564" spans="1:2">
      <c r="A5564" s="22">
        <v>1</v>
      </c>
    </row>
    <row r="5566" spans="1:2">
      <c r="A5566" s="22" t="s">
        <v>1481</v>
      </c>
      <c r="B5566" s="22"/>
    </row>
    <row r="5568" spans="1:2">
      <c r="A5568" s="22" t="s">
        <v>430</v>
      </c>
      <c r="B5568" s="22"/>
    </row>
    <row r="5570" spans="1:2">
      <c r="A5570" s="19" t="s">
        <v>423</v>
      </c>
    </row>
    <row r="5572" spans="1:2">
      <c r="A5572" s="19" t="s">
        <v>424</v>
      </c>
    </row>
    <row r="5574" spans="1:2">
      <c r="A5574" s="22" t="s">
        <v>407</v>
      </c>
    </row>
    <row r="5576" spans="1:2">
      <c r="A5576" s="22">
        <v>1</v>
      </c>
    </row>
    <row r="5578" spans="1:2">
      <c r="A5578" s="22" t="s">
        <v>1482</v>
      </c>
      <c r="B5578" s="22"/>
    </row>
    <row r="5580" spans="1:2">
      <c r="A5580" s="22" t="s">
        <v>430</v>
      </c>
      <c r="B5580" s="22"/>
    </row>
    <row r="5582" spans="1:2">
      <c r="A5582" s="19" t="s">
        <v>423</v>
      </c>
    </row>
    <row r="5584" spans="1:2">
      <c r="A5584" s="19" t="s">
        <v>424</v>
      </c>
    </row>
    <row r="5586" spans="1:2">
      <c r="A5586" s="22" t="s">
        <v>407</v>
      </c>
    </row>
    <row r="5588" spans="1:2">
      <c r="A5588" s="22">
        <v>1</v>
      </c>
    </row>
    <row r="5590" spans="1:2">
      <c r="A5590" s="22" t="s">
        <v>1483</v>
      </c>
      <c r="B5590" s="22"/>
    </row>
    <row r="5592" spans="1:2">
      <c r="A5592" s="22" t="s">
        <v>432</v>
      </c>
      <c r="B5592" s="22"/>
    </row>
    <row r="5594" spans="1:2">
      <c r="A5594" s="19" t="s">
        <v>423</v>
      </c>
    </row>
    <row r="5596" spans="1:2">
      <c r="A5596" s="19" t="s">
        <v>424</v>
      </c>
    </row>
    <row r="5598" spans="1:2">
      <c r="A5598" s="22" t="s">
        <v>407</v>
      </c>
    </row>
    <row r="5600" spans="1:2">
      <c r="A5600" s="22">
        <v>3</v>
      </c>
    </row>
    <row r="5602" spans="1:2">
      <c r="A5602" s="19" t="s">
        <v>2164</v>
      </c>
      <c r="B5602" s="19"/>
    </row>
    <row r="5604" spans="1:2">
      <c r="A5604" s="22" t="s">
        <v>133</v>
      </c>
    </row>
    <row r="5605" spans="1:2">
      <c r="A5605" s="22" t="s">
        <v>131</v>
      </c>
      <c r="B5605" s="22"/>
    </row>
    <row r="5606" spans="1:2">
      <c r="A5606" s="22" t="s">
        <v>389</v>
      </c>
      <c r="B5606" s="22"/>
    </row>
    <row r="5608" spans="1:2">
      <c r="A5608" s="19" t="s">
        <v>400</v>
      </c>
      <c r="B5608" s="19"/>
    </row>
    <row r="5610" spans="1:2">
      <c r="A5610" s="19" t="s">
        <v>2110</v>
      </c>
      <c r="B5610" s="19"/>
    </row>
    <row r="5612" spans="1:2">
      <c r="A5612" s="22" t="s">
        <v>1028</v>
      </c>
      <c r="B5612" s="22"/>
    </row>
    <row r="5614" spans="1:2">
      <c r="A5614" s="22" t="s">
        <v>1485</v>
      </c>
      <c r="B5614" s="22"/>
    </row>
    <row r="5616" spans="1:2">
      <c r="A5616" s="22" t="s">
        <v>428</v>
      </c>
      <c r="B5616" s="22"/>
    </row>
    <row r="5618" spans="1:2">
      <c r="A5618" s="19" t="s">
        <v>406</v>
      </c>
    </row>
    <row r="5620" spans="1:2">
      <c r="A5620" s="22" t="s">
        <v>407</v>
      </c>
    </row>
    <row r="5622" spans="1:2">
      <c r="A5622" s="22">
        <v>3</v>
      </c>
    </row>
    <row r="5624" spans="1:2">
      <c r="A5624" s="22" t="s">
        <v>1486</v>
      </c>
      <c r="B5624" s="22"/>
    </row>
    <row r="5626" spans="1:2">
      <c r="A5626" s="22" t="s">
        <v>432</v>
      </c>
      <c r="B5626" s="22"/>
    </row>
    <row r="5628" spans="1:2">
      <c r="A5628" s="19" t="s">
        <v>423</v>
      </c>
    </row>
    <row r="5630" spans="1:2">
      <c r="A5630" s="19" t="s">
        <v>424</v>
      </c>
    </row>
    <row r="5632" spans="1:2">
      <c r="A5632" s="22" t="s">
        <v>407</v>
      </c>
    </row>
    <row r="5634" spans="1:2">
      <c r="A5634" s="22">
        <v>1</v>
      </c>
    </row>
    <row r="5636" spans="1:2">
      <c r="A5636" s="22" t="s">
        <v>1487</v>
      </c>
      <c r="B5636" s="22"/>
    </row>
    <row r="5638" spans="1:2">
      <c r="A5638" s="22" t="s">
        <v>1092</v>
      </c>
      <c r="B5638" s="22"/>
    </row>
    <row r="5640" spans="1:2">
      <c r="A5640" s="19" t="s">
        <v>423</v>
      </c>
    </row>
    <row r="5642" spans="1:2">
      <c r="A5642" s="19" t="s">
        <v>424</v>
      </c>
    </row>
    <row r="5644" spans="1:2">
      <c r="A5644" s="22" t="s">
        <v>407</v>
      </c>
    </row>
    <row r="5646" spans="1:2">
      <c r="A5646" s="22">
        <v>2</v>
      </c>
    </row>
    <row r="5648" spans="1:2">
      <c r="A5648" s="22" t="s">
        <v>1488</v>
      </c>
      <c r="B5648" s="22"/>
    </row>
    <row r="5650" spans="1:2">
      <c r="A5650" s="22" t="s">
        <v>422</v>
      </c>
      <c r="B5650" s="22"/>
    </row>
    <row r="5652" spans="1:2">
      <c r="A5652" s="19" t="s">
        <v>423</v>
      </c>
    </row>
    <row r="5654" spans="1:2">
      <c r="A5654" s="19" t="s">
        <v>424</v>
      </c>
    </row>
    <row r="5656" spans="1:2">
      <c r="A5656" s="22" t="s">
        <v>407</v>
      </c>
    </row>
    <row r="5658" spans="1:2">
      <c r="A5658" s="22">
        <v>1</v>
      </c>
    </row>
    <row r="5660" spans="1:2">
      <c r="A5660" s="22" t="s">
        <v>1489</v>
      </c>
      <c r="B5660" s="22"/>
    </row>
    <row r="5662" spans="1:2">
      <c r="A5662" s="22" t="s">
        <v>418</v>
      </c>
      <c r="B5662" s="22"/>
    </row>
    <row r="5664" spans="1:2">
      <c r="A5664" s="19" t="s">
        <v>423</v>
      </c>
    </row>
    <row r="5666" spans="1:2">
      <c r="A5666" s="19" t="s">
        <v>424</v>
      </c>
    </row>
    <row r="5668" spans="1:2">
      <c r="A5668" s="22" t="s">
        <v>407</v>
      </c>
    </row>
    <row r="5670" spans="1:2">
      <c r="A5670" s="22">
        <v>3</v>
      </c>
    </row>
    <row r="5672" spans="1:2">
      <c r="A5672" s="22" t="s">
        <v>1490</v>
      </c>
      <c r="B5672" s="22"/>
    </row>
    <row r="5674" spans="1:2">
      <c r="A5674" s="22" t="s">
        <v>1092</v>
      </c>
      <c r="B5674" s="22"/>
    </row>
    <row r="5676" spans="1:2">
      <c r="A5676" s="19" t="s">
        <v>423</v>
      </c>
    </row>
    <row r="5678" spans="1:2">
      <c r="A5678" s="19" t="s">
        <v>424</v>
      </c>
    </row>
    <row r="5680" spans="1:2">
      <c r="A5680" s="22" t="s">
        <v>407</v>
      </c>
    </row>
    <row r="5682" spans="1:2">
      <c r="A5682" s="22">
        <v>2</v>
      </c>
    </row>
    <row r="5684" spans="1:2">
      <c r="A5684" s="22" t="s">
        <v>1491</v>
      </c>
      <c r="B5684" s="22"/>
    </row>
    <row r="5686" spans="1:2">
      <c r="A5686" s="22" t="s">
        <v>584</v>
      </c>
      <c r="B5686" s="22"/>
    </row>
    <row r="5688" spans="1:2">
      <c r="A5688" s="19" t="s">
        <v>423</v>
      </c>
    </row>
    <row r="5690" spans="1:2">
      <c r="A5690" s="19" t="s">
        <v>424</v>
      </c>
    </row>
    <row r="5692" spans="1:2">
      <c r="A5692" s="22" t="s">
        <v>407</v>
      </c>
    </row>
    <row r="5694" spans="1:2">
      <c r="A5694" s="22">
        <v>2</v>
      </c>
    </row>
    <row r="5696" spans="1:2">
      <c r="A5696" s="22" t="s">
        <v>1492</v>
      </c>
      <c r="B5696" s="22"/>
    </row>
    <row r="5698" spans="1:2">
      <c r="A5698" s="22" t="s">
        <v>428</v>
      </c>
      <c r="B5698" s="22"/>
    </row>
    <row r="5700" spans="1:2">
      <c r="A5700" s="19" t="s">
        <v>423</v>
      </c>
    </row>
    <row r="5702" spans="1:2">
      <c r="A5702" s="19" t="s">
        <v>424</v>
      </c>
    </row>
    <row r="5704" spans="1:2">
      <c r="A5704" s="22" t="s">
        <v>407</v>
      </c>
    </row>
    <row r="5706" spans="1:2">
      <c r="A5706" s="22">
        <v>3</v>
      </c>
    </row>
    <row r="5708" spans="1:2">
      <c r="A5708" s="19" t="s">
        <v>2165</v>
      </c>
      <c r="B5708" s="19"/>
    </row>
    <row r="5710" spans="1:2">
      <c r="A5710" s="22" t="s">
        <v>133</v>
      </c>
    </row>
    <row r="5711" spans="1:2">
      <c r="A5711" s="22" t="s">
        <v>131</v>
      </c>
      <c r="B5711" s="22"/>
    </row>
    <row r="5712" spans="1:2">
      <c r="A5712" s="22" t="s">
        <v>389</v>
      </c>
      <c r="B5712" s="22"/>
    </row>
    <row r="5714" spans="1:2">
      <c r="A5714" s="19" t="s">
        <v>400</v>
      </c>
      <c r="B5714" s="19"/>
    </row>
    <row r="5716" spans="1:2">
      <c r="A5716" s="19" t="s">
        <v>2110</v>
      </c>
      <c r="B5716" s="19"/>
    </row>
    <row r="5718" spans="1:2">
      <c r="A5718" s="22" t="s">
        <v>1028</v>
      </c>
      <c r="B5718" s="22"/>
    </row>
    <row r="5720" spans="1:2">
      <c r="A5720" s="22" t="s">
        <v>1494</v>
      </c>
      <c r="B5720" s="22"/>
    </row>
    <row r="5722" spans="1:2">
      <c r="A5722" s="22" t="s">
        <v>609</v>
      </c>
      <c r="B5722" s="22"/>
    </row>
    <row r="5724" spans="1:2">
      <c r="A5724" s="19" t="s">
        <v>406</v>
      </c>
    </row>
    <row r="5726" spans="1:2">
      <c r="A5726" s="22" t="s">
        <v>407</v>
      </c>
    </row>
    <row r="5728" spans="1:2">
      <c r="A5728" s="22">
        <v>2</v>
      </c>
    </row>
    <row r="5730" spans="1:2">
      <c r="A5730" s="22" t="s">
        <v>1495</v>
      </c>
      <c r="B5730" s="22"/>
    </row>
    <row r="5732" spans="1:2">
      <c r="A5732" s="22" t="s">
        <v>728</v>
      </c>
      <c r="B5732" s="22"/>
    </row>
    <row r="5734" spans="1:2">
      <c r="A5734" s="19" t="s">
        <v>423</v>
      </c>
    </row>
    <row r="5736" spans="1:2">
      <c r="A5736" s="19" t="s">
        <v>424</v>
      </c>
    </row>
    <row r="5738" spans="1:2">
      <c r="A5738" s="22" t="s">
        <v>407</v>
      </c>
    </row>
    <row r="5740" spans="1:2">
      <c r="A5740" s="22">
        <v>2</v>
      </c>
    </row>
    <row r="5742" spans="1:2">
      <c r="A5742" s="22" t="s">
        <v>1496</v>
      </c>
      <c r="B5742" s="22"/>
    </row>
    <row r="5744" spans="1:2">
      <c r="A5744" s="22" t="s">
        <v>827</v>
      </c>
      <c r="B5744" s="22"/>
    </row>
    <row r="5746" spans="1:2">
      <c r="A5746" s="19" t="s">
        <v>423</v>
      </c>
    </row>
    <row r="5748" spans="1:2">
      <c r="A5748" s="19" t="s">
        <v>424</v>
      </c>
    </row>
    <row r="5750" spans="1:2">
      <c r="A5750" s="22" t="s">
        <v>407</v>
      </c>
    </row>
    <row r="5752" spans="1:2">
      <c r="A5752" s="22">
        <v>2</v>
      </c>
    </row>
    <row r="5754" spans="1:2">
      <c r="A5754" s="22" t="s">
        <v>1497</v>
      </c>
      <c r="B5754" s="22"/>
    </row>
    <row r="5756" spans="1:2">
      <c r="A5756" s="22" t="s">
        <v>589</v>
      </c>
      <c r="B5756" s="22"/>
    </row>
    <row r="5758" spans="1:2">
      <c r="A5758" s="19" t="s">
        <v>423</v>
      </c>
    </row>
    <row r="5760" spans="1:2">
      <c r="A5760" s="19" t="s">
        <v>424</v>
      </c>
    </row>
    <row r="5762" spans="1:2">
      <c r="A5762" s="22" t="s">
        <v>407</v>
      </c>
    </row>
    <row r="5764" spans="1:2">
      <c r="A5764" s="22">
        <v>3</v>
      </c>
    </row>
    <row r="5766" spans="1:2">
      <c r="A5766" s="22" t="s">
        <v>1498</v>
      </c>
      <c r="B5766" s="22"/>
    </row>
    <row r="5768" spans="1:2">
      <c r="A5768" s="22" t="s">
        <v>481</v>
      </c>
      <c r="B5768" s="22"/>
    </row>
    <row r="5770" spans="1:2">
      <c r="A5770" s="19" t="s">
        <v>423</v>
      </c>
    </row>
    <row r="5772" spans="1:2">
      <c r="A5772" s="19" t="s">
        <v>424</v>
      </c>
    </row>
    <row r="5774" spans="1:2">
      <c r="A5774" s="22" t="s">
        <v>407</v>
      </c>
    </row>
    <row r="5776" spans="1:2">
      <c r="A5776" s="22">
        <v>2</v>
      </c>
    </row>
    <row r="5778" spans="1:2">
      <c r="A5778" s="22" t="s">
        <v>1499</v>
      </c>
      <c r="B5778" s="22"/>
    </row>
    <row r="5780" spans="1:2">
      <c r="A5780" s="22" t="s">
        <v>560</v>
      </c>
      <c r="B5780" s="22"/>
    </row>
    <row r="5782" spans="1:2">
      <c r="A5782" s="19" t="s">
        <v>423</v>
      </c>
    </row>
    <row r="5784" spans="1:2">
      <c r="A5784" s="19" t="s">
        <v>424</v>
      </c>
    </row>
    <row r="5786" spans="1:2">
      <c r="A5786" s="22" t="s">
        <v>407</v>
      </c>
    </row>
    <row r="5788" spans="1:2">
      <c r="A5788" s="22">
        <v>3</v>
      </c>
    </row>
    <row r="5790" spans="1:2">
      <c r="A5790" s="22" t="s">
        <v>1500</v>
      </c>
      <c r="B5790" s="22"/>
    </row>
    <row r="5792" spans="1:2">
      <c r="A5792" s="22" t="s">
        <v>762</v>
      </c>
      <c r="B5792" s="22"/>
    </row>
    <row r="5794" spans="1:2">
      <c r="A5794" s="19" t="s">
        <v>423</v>
      </c>
    </row>
    <row r="5796" spans="1:2">
      <c r="A5796" s="19" t="s">
        <v>424</v>
      </c>
    </row>
    <row r="5798" spans="1:2">
      <c r="A5798" s="22" t="s">
        <v>407</v>
      </c>
    </row>
    <row r="5800" spans="1:2">
      <c r="A5800" s="22">
        <v>2</v>
      </c>
    </row>
    <row r="5802" spans="1:2">
      <c r="A5802" s="22" t="s">
        <v>1501</v>
      </c>
      <c r="B5802" s="22"/>
    </row>
    <row r="5804" spans="1:2">
      <c r="A5804" s="22" t="s">
        <v>460</v>
      </c>
      <c r="B5804" s="22"/>
    </row>
    <row r="5806" spans="1:2">
      <c r="A5806" s="19" t="s">
        <v>423</v>
      </c>
    </row>
    <row r="5808" spans="1:2">
      <c r="A5808" s="19" t="s">
        <v>424</v>
      </c>
    </row>
    <row r="5810" spans="1:2">
      <c r="A5810" s="22" t="s">
        <v>407</v>
      </c>
    </row>
    <row r="5812" spans="1:2">
      <c r="A5812" s="22">
        <v>5</v>
      </c>
    </row>
    <row r="5814" spans="1:2">
      <c r="A5814" s="19" t="s">
        <v>2166</v>
      </c>
      <c r="B5814" s="19"/>
    </row>
    <row r="5816" spans="1:2">
      <c r="A5816" s="22" t="s">
        <v>133</v>
      </c>
    </row>
    <row r="5817" spans="1:2">
      <c r="A5817" s="22" t="s">
        <v>131</v>
      </c>
      <c r="B5817" s="22"/>
    </row>
    <row r="5818" spans="1:2">
      <c r="A5818" s="22" t="s">
        <v>389</v>
      </c>
      <c r="B5818" s="22"/>
    </row>
    <row r="5820" spans="1:2">
      <c r="A5820" s="19" t="s">
        <v>400</v>
      </c>
      <c r="B5820" s="19"/>
    </row>
    <row r="5822" spans="1:2">
      <c r="A5822" s="19" t="s">
        <v>2110</v>
      </c>
      <c r="B5822" s="19"/>
    </row>
    <row r="5824" spans="1:2">
      <c r="A5824" s="22" t="s">
        <v>1028</v>
      </c>
      <c r="B5824" s="22"/>
    </row>
    <row r="5826" spans="1:2">
      <c r="A5826" s="22" t="s">
        <v>1503</v>
      </c>
      <c r="B5826" s="22"/>
    </row>
    <row r="5828" spans="1:2">
      <c r="A5828" s="22" t="s">
        <v>512</v>
      </c>
      <c r="B5828" s="22"/>
    </row>
    <row r="5830" spans="1:2">
      <c r="A5830" s="19" t="s">
        <v>406</v>
      </c>
    </row>
    <row r="5832" spans="1:2">
      <c r="A5832" s="22" t="s">
        <v>407</v>
      </c>
    </row>
    <row r="5834" spans="1:2">
      <c r="A5834" s="22">
        <v>2</v>
      </c>
    </row>
    <row r="5836" spans="1:2">
      <c r="A5836" s="22" t="s">
        <v>1504</v>
      </c>
      <c r="B5836" s="22"/>
    </row>
    <row r="5838" spans="1:2">
      <c r="A5838" s="22" t="s">
        <v>768</v>
      </c>
      <c r="B5838" s="22"/>
    </row>
    <row r="5840" spans="1:2">
      <c r="A5840" s="19" t="s">
        <v>423</v>
      </c>
    </row>
    <row r="5842" spans="1:2">
      <c r="A5842" s="19" t="s">
        <v>424</v>
      </c>
    </row>
    <row r="5844" spans="1:2">
      <c r="A5844" s="22" t="s">
        <v>407</v>
      </c>
    </row>
    <row r="5846" spans="1:2">
      <c r="A5846" s="22">
        <v>2</v>
      </c>
    </row>
    <row r="5848" spans="1:2">
      <c r="A5848" s="22" t="s">
        <v>1505</v>
      </c>
      <c r="B5848" s="22"/>
    </row>
    <row r="5850" spans="1:2">
      <c r="A5850" s="22" t="s">
        <v>641</v>
      </c>
      <c r="B5850" s="22"/>
    </row>
    <row r="5852" spans="1:2">
      <c r="A5852" s="19" t="s">
        <v>423</v>
      </c>
    </row>
    <row r="5854" spans="1:2">
      <c r="A5854" s="19" t="s">
        <v>424</v>
      </c>
    </row>
    <row r="5856" spans="1:2">
      <c r="A5856" s="22" t="s">
        <v>407</v>
      </c>
    </row>
    <row r="5858" spans="1:2">
      <c r="A5858" s="22">
        <v>2</v>
      </c>
    </row>
    <row r="5860" spans="1:2">
      <c r="A5860" s="22" t="s">
        <v>1506</v>
      </c>
      <c r="B5860" s="22"/>
    </row>
    <row r="5862" spans="1:2">
      <c r="A5862" s="22" t="s">
        <v>770</v>
      </c>
      <c r="B5862" s="22"/>
    </row>
    <row r="5864" spans="1:2">
      <c r="A5864" s="19" t="s">
        <v>423</v>
      </c>
    </row>
    <row r="5866" spans="1:2">
      <c r="A5866" s="19" t="s">
        <v>424</v>
      </c>
    </row>
    <row r="5868" spans="1:2">
      <c r="A5868" s="22" t="s">
        <v>407</v>
      </c>
    </row>
    <row r="5870" spans="1:2">
      <c r="A5870" s="22">
        <v>2</v>
      </c>
    </row>
    <row r="5872" spans="1:2">
      <c r="A5872" s="22" t="s">
        <v>1507</v>
      </c>
      <c r="B5872" s="22"/>
    </row>
    <row r="5874" spans="1:2">
      <c r="A5874" s="22" t="s">
        <v>557</v>
      </c>
      <c r="B5874" s="22"/>
    </row>
    <row r="5876" spans="1:2">
      <c r="A5876" s="19" t="s">
        <v>423</v>
      </c>
    </row>
    <row r="5878" spans="1:2">
      <c r="A5878" s="19" t="s">
        <v>424</v>
      </c>
    </row>
    <row r="5880" spans="1:2">
      <c r="A5880" s="22" t="s">
        <v>407</v>
      </c>
    </row>
    <row r="5882" spans="1:2">
      <c r="A5882" s="22">
        <v>2</v>
      </c>
    </row>
    <row r="5884" spans="1:2">
      <c r="A5884" s="22" t="s">
        <v>1508</v>
      </c>
      <c r="B5884" s="22"/>
    </row>
    <row r="5886" spans="1:2">
      <c r="A5886" s="22" t="s">
        <v>626</v>
      </c>
      <c r="B5886" s="22"/>
    </row>
    <row r="5888" spans="1:2">
      <c r="A5888" s="19" t="s">
        <v>423</v>
      </c>
    </row>
    <row r="5890" spans="1:2">
      <c r="A5890" s="19" t="s">
        <v>424</v>
      </c>
    </row>
    <row r="5892" spans="1:2">
      <c r="A5892" s="22" t="s">
        <v>407</v>
      </c>
    </row>
    <row r="5894" spans="1:2">
      <c r="A5894" s="22">
        <v>2</v>
      </c>
    </row>
    <row r="5896" spans="1:2">
      <c r="A5896" s="22" t="s">
        <v>1509</v>
      </c>
      <c r="B5896" s="22"/>
    </row>
    <row r="5898" spans="1:2">
      <c r="A5898" s="22" t="s">
        <v>1376</v>
      </c>
      <c r="B5898" s="22"/>
    </row>
    <row r="5900" spans="1:2">
      <c r="A5900" s="19" t="s">
        <v>423</v>
      </c>
    </row>
    <row r="5902" spans="1:2">
      <c r="A5902" s="19" t="s">
        <v>424</v>
      </c>
    </row>
    <row r="5904" spans="1:2">
      <c r="A5904" s="22" t="s">
        <v>407</v>
      </c>
    </row>
    <row r="5906" spans="1:2">
      <c r="A5906" s="22">
        <v>2</v>
      </c>
    </row>
    <row r="5908" spans="1:2">
      <c r="A5908" s="22" t="s">
        <v>1510</v>
      </c>
      <c r="B5908" s="22"/>
    </row>
    <row r="5910" spans="1:2">
      <c r="A5910" s="22" t="s">
        <v>446</v>
      </c>
      <c r="B5910" s="22"/>
    </row>
    <row r="5912" spans="1:2">
      <c r="A5912" s="19" t="s">
        <v>423</v>
      </c>
    </row>
    <row r="5914" spans="1:2">
      <c r="A5914" s="19" t="s">
        <v>424</v>
      </c>
    </row>
    <row r="5916" spans="1:2">
      <c r="A5916" s="22" t="s">
        <v>407</v>
      </c>
    </row>
    <row r="5918" spans="1:2">
      <c r="A5918" s="22">
        <v>3</v>
      </c>
    </row>
    <row r="5920" spans="1:2">
      <c r="A5920" s="19" t="s">
        <v>2167</v>
      </c>
      <c r="B5920" s="19"/>
    </row>
    <row r="5922" spans="1:2">
      <c r="A5922" s="22" t="s">
        <v>133</v>
      </c>
    </row>
    <row r="5923" spans="1:2">
      <c r="A5923" s="22" t="s">
        <v>131</v>
      </c>
      <c r="B5923" s="22"/>
    </row>
    <row r="5924" spans="1:2">
      <c r="A5924" s="22" t="s">
        <v>389</v>
      </c>
      <c r="B5924" s="22"/>
    </row>
    <row r="5926" spans="1:2">
      <c r="A5926" s="19" t="s">
        <v>400</v>
      </c>
      <c r="B5926" s="19"/>
    </row>
    <row r="5928" spans="1:2">
      <c r="A5928" s="19" t="s">
        <v>2110</v>
      </c>
      <c r="B5928" s="19"/>
    </row>
    <row r="5930" spans="1:2">
      <c r="A5930" s="22" t="s">
        <v>1028</v>
      </c>
      <c r="B5930" s="22"/>
    </row>
    <row r="5932" spans="1:2">
      <c r="A5932" s="22" t="s">
        <v>1512</v>
      </c>
      <c r="B5932" s="22"/>
    </row>
    <row r="5934" spans="1:2">
      <c r="A5934" s="22" t="s">
        <v>519</v>
      </c>
      <c r="B5934" s="22"/>
    </row>
    <row r="5936" spans="1:2">
      <c r="A5936" s="19" t="s">
        <v>406</v>
      </c>
    </row>
    <row r="5938" spans="1:2">
      <c r="A5938" s="22" t="s">
        <v>407</v>
      </c>
    </row>
    <row r="5940" spans="1:2">
      <c r="A5940" s="22">
        <v>2</v>
      </c>
    </row>
    <row r="5942" spans="1:2">
      <c r="A5942" s="22" t="s">
        <v>1513</v>
      </c>
      <c r="B5942" s="22"/>
    </row>
    <row r="5944" spans="1:2">
      <c r="A5944" s="22" t="s">
        <v>875</v>
      </c>
      <c r="B5944" s="22"/>
    </row>
    <row r="5946" spans="1:2">
      <c r="A5946" s="19" t="s">
        <v>423</v>
      </c>
    </row>
    <row r="5948" spans="1:2">
      <c r="A5948" s="19" t="s">
        <v>424</v>
      </c>
    </row>
    <row r="5950" spans="1:2">
      <c r="A5950" s="22" t="s">
        <v>407</v>
      </c>
    </row>
    <row r="5952" spans="1:2">
      <c r="A5952" s="22">
        <v>2</v>
      </c>
    </row>
    <row r="5954" spans="1:2">
      <c r="A5954" s="22" t="s">
        <v>1514</v>
      </c>
      <c r="B5954" s="22"/>
    </row>
    <row r="5956" spans="1:2">
      <c r="A5956" s="22" t="s">
        <v>937</v>
      </c>
      <c r="B5956" s="22"/>
    </row>
    <row r="5958" spans="1:2">
      <c r="A5958" s="19" t="s">
        <v>423</v>
      </c>
    </row>
    <row r="5960" spans="1:2">
      <c r="A5960" s="19" t="s">
        <v>424</v>
      </c>
    </row>
    <row r="5962" spans="1:2">
      <c r="A5962" s="22" t="s">
        <v>407</v>
      </c>
    </row>
    <row r="5964" spans="1:2">
      <c r="A5964" s="22">
        <v>3</v>
      </c>
    </row>
    <row r="5966" spans="1:2">
      <c r="A5966" s="22" t="s">
        <v>1515</v>
      </c>
      <c r="B5966" s="22"/>
    </row>
    <row r="5968" spans="1:2">
      <c r="A5968" s="22" t="s">
        <v>532</v>
      </c>
      <c r="B5968" s="22"/>
    </row>
    <row r="5970" spans="1:2">
      <c r="A5970" s="19" t="s">
        <v>423</v>
      </c>
    </row>
    <row r="5972" spans="1:2">
      <c r="A5972" s="19" t="s">
        <v>424</v>
      </c>
    </row>
    <row r="5974" spans="1:2">
      <c r="A5974" s="22" t="s">
        <v>407</v>
      </c>
    </row>
    <row r="5976" spans="1:2">
      <c r="A5976" s="22">
        <v>3</v>
      </c>
    </row>
    <row r="5978" spans="1:2">
      <c r="A5978" s="22" t="s">
        <v>1516</v>
      </c>
      <c r="B5978" s="22"/>
    </row>
    <row r="5980" spans="1:2">
      <c r="A5980" s="22" t="s">
        <v>523</v>
      </c>
      <c r="B5980" s="22"/>
    </row>
    <row r="5982" spans="1:2">
      <c r="A5982" s="19" t="s">
        <v>423</v>
      </c>
    </row>
    <row r="5984" spans="1:2">
      <c r="A5984" s="19" t="s">
        <v>424</v>
      </c>
    </row>
    <row r="5986" spans="1:2">
      <c r="A5986" s="22" t="s">
        <v>407</v>
      </c>
    </row>
    <row r="5988" spans="1:2">
      <c r="A5988" s="22">
        <v>3</v>
      </c>
    </row>
    <row r="5990" spans="1:2">
      <c r="A5990" s="22" t="s">
        <v>1517</v>
      </c>
      <c r="B5990" s="22"/>
    </row>
    <row r="5992" spans="1:2">
      <c r="A5992" s="22" t="s">
        <v>584</v>
      </c>
      <c r="B5992" s="22"/>
    </row>
    <row r="5994" spans="1:2">
      <c r="A5994" s="19" t="s">
        <v>423</v>
      </c>
    </row>
    <row r="5996" spans="1:2">
      <c r="A5996" s="19" t="s">
        <v>424</v>
      </c>
    </row>
    <row r="5998" spans="1:2">
      <c r="A5998" s="22" t="s">
        <v>407</v>
      </c>
    </row>
    <row r="6000" spans="1:2">
      <c r="A6000" s="22">
        <v>2</v>
      </c>
    </row>
    <row r="6002" spans="1:2">
      <c r="A6002" s="22" t="s">
        <v>1518</v>
      </c>
      <c r="B6002" s="22"/>
    </row>
    <row r="6004" spans="1:2">
      <c r="A6004" s="22" t="s">
        <v>448</v>
      </c>
      <c r="B6004" s="22"/>
    </row>
    <row r="6006" spans="1:2">
      <c r="A6006" s="19" t="s">
        <v>423</v>
      </c>
    </row>
    <row r="6008" spans="1:2">
      <c r="A6008" s="19" t="s">
        <v>424</v>
      </c>
    </row>
    <row r="6010" spans="1:2">
      <c r="A6010" s="22" t="s">
        <v>407</v>
      </c>
    </row>
    <row r="6012" spans="1:2">
      <c r="A6012" s="22">
        <v>3</v>
      </c>
    </row>
    <row r="6014" spans="1:2">
      <c r="A6014" s="19" t="s">
        <v>953</v>
      </c>
      <c r="B6014" s="19"/>
    </row>
    <row r="6016" spans="1:2">
      <c r="A6016" s="19" t="s">
        <v>2168</v>
      </c>
    </row>
    <row r="6018" spans="1:2">
      <c r="A6018" s="22" t="s">
        <v>1519</v>
      </c>
      <c r="B6018" s="22"/>
    </row>
    <row r="6020" spans="1:2">
      <c r="A6020" s="19" t="s">
        <v>950</v>
      </c>
    </row>
    <row r="6022" spans="1:2">
      <c r="A6022" s="22">
        <v>2487</v>
      </c>
    </row>
    <row r="6024" spans="1:2">
      <c r="A6024" s="24" t="s">
        <v>951</v>
      </c>
      <c r="B6024" s="24"/>
    </row>
    <row r="6026" spans="1:2">
      <c r="A6026" s="22" t="s">
        <v>1520</v>
      </c>
    </row>
    <row r="6028" spans="1:2" ht="36" customHeight="1">
      <c r="A6028" s="30" t="s">
        <v>400</v>
      </c>
    </row>
    <row r="6029" spans="1:2">
      <c r="A6029" s="30"/>
    </row>
    <row r="6030" spans="1:2" ht="14" customHeight="1">
      <c r="A6030" s="31" t="s">
        <v>953</v>
      </c>
    </row>
    <row r="6031" spans="1:2">
      <c r="A6031" s="31"/>
    </row>
    <row r="6032" spans="1:2">
      <c r="A6032" s="29" t="s">
        <v>1521</v>
      </c>
    </row>
    <row r="6033" spans="1:2">
      <c r="A6033" s="28"/>
    </row>
    <row r="6034" spans="1:2" ht="20">
      <c r="A6034" s="29" t="s">
        <v>956</v>
      </c>
    </row>
    <row r="6035" spans="1:2">
      <c r="A6035" s="28"/>
    </row>
    <row r="6037" spans="1:2">
      <c r="A6037" s="19" t="s">
        <v>957</v>
      </c>
      <c r="B6037" s="19"/>
    </row>
    <row r="6039" spans="1:2">
      <c r="A6039" s="22">
        <v>392690979</v>
      </c>
    </row>
    <row r="6041" spans="1:2">
      <c r="A6041" s="22" t="s">
        <v>1522</v>
      </c>
      <c r="B6041" s="22"/>
    </row>
    <row r="6043" spans="1:2">
      <c r="A6043" s="19" t="s">
        <v>1523</v>
      </c>
      <c r="B6043" s="19"/>
    </row>
    <row r="6045" spans="1:2">
      <c r="A6045" s="23" t="s">
        <v>976</v>
      </c>
      <c r="B6045" s="23"/>
    </row>
    <row r="6047" spans="1:2">
      <c r="A6047" s="19" t="s">
        <v>977</v>
      </c>
    </row>
    <row r="6049" spans="1:2">
      <c r="A6049" s="22" t="s">
        <v>1524</v>
      </c>
    </row>
    <row r="6051" spans="1:2">
      <c r="A6051" s="22" t="s">
        <v>1525</v>
      </c>
      <c r="B6051" s="22"/>
    </row>
    <row r="6053" spans="1:2">
      <c r="A6053" s="19" t="s">
        <v>981</v>
      </c>
    </row>
    <row r="6055" spans="1:2">
      <c r="A6055" s="22" t="s">
        <v>1526</v>
      </c>
    </row>
    <row r="6057" spans="1:2">
      <c r="A6057" s="22" t="s">
        <v>1527</v>
      </c>
    </row>
    <row r="6059" spans="1:2">
      <c r="A6059" s="22" t="s">
        <v>1528</v>
      </c>
    </row>
    <row r="6061" spans="1:2">
      <c r="A6061" s="22" t="s">
        <v>1529</v>
      </c>
    </row>
    <row r="6063" spans="1:2">
      <c r="A6063" s="22" t="s">
        <v>985</v>
      </c>
    </row>
    <row r="6065" spans="1:1">
      <c r="A6065" s="22" t="s">
        <v>986</v>
      </c>
    </row>
    <row r="6067" spans="1:1">
      <c r="A6067" s="22" t="s">
        <v>1530</v>
      </c>
    </row>
    <row r="6069" spans="1:1">
      <c r="A6069" s="22" t="s">
        <v>1531</v>
      </c>
    </row>
    <row r="6071" spans="1:1">
      <c r="A6071" s="22" t="s">
        <v>1532</v>
      </c>
    </row>
    <row r="6073" spans="1:1">
      <c r="A6073" s="22" t="s">
        <v>1533</v>
      </c>
    </row>
    <row r="6075" spans="1:1">
      <c r="A6075" s="22" t="s">
        <v>1534</v>
      </c>
    </row>
    <row r="6077" spans="1:1">
      <c r="A6077" s="22" t="s">
        <v>992</v>
      </c>
    </row>
    <row r="6079" spans="1:1">
      <c r="A6079" s="22" t="s">
        <v>993</v>
      </c>
    </row>
    <row r="6081" spans="1:1">
      <c r="A6081" s="22" t="s">
        <v>994</v>
      </c>
    </row>
    <row r="6083" spans="1:1">
      <c r="A6083" s="22" t="s">
        <v>1535</v>
      </c>
    </row>
    <row r="6085" spans="1:1">
      <c r="A6085" s="19" t="s">
        <v>962</v>
      </c>
    </row>
    <row r="6087" spans="1:1">
      <c r="A6087" s="22" t="s">
        <v>961</v>
      </c>
    </row>
    <row r="6089" spans="1:1">
      <c r="A6089" s="19" t="s">
        <v>962</v>
      </c>
    </row>
    <row r="6091" spans="1:1">
      <c r="A6091" s="22" t="s">
        <v>961</v>
      </c>
    </row>
    <row r="6093" spans="1:1">
      <c r="A6093" s="19" t="s">
        <v>962</v>
      </c>
    </row>
    <row r="6095" spans="1:1">
      <c r="A6095" s="22" t="s">
        <v>961</v>
      </c>
    </row>
    <row r="6097" spans="1:1">
      <c r="A6097" s="19" t="s">
        <v>962</v>
      </c>
    </row>
    <row r="6099" spans="1:1">
      <c r="A6099" s="22" t="s">
        <v>961</v>
      </c>
    </row>
    <row r="6101" spans="1:1">
      <c r="A6101" s="19" t="s">
        <v>962</v>
      </c>
    </row>
    <row r="6103" spans="1:1">
      <c r="A6103" s="22" t="s">
        <v>961</v>
      </c>
    </row>
    <row r="6105" spans="1:1">
      <c r="A6105" s="19" t="s">
        <v>962</v>
      </c>
    </row>
    <row r="6107" spans="1:1">
      <c r="A6107" s="22" t="s">
        <v>961</v>
      </c>
    </row>
    <row r="6109" spans="1:1">
      <c r="A6109" s="19" t="s">
        <v>962</v>
      </c>
    </row>
    <row r="6111" spans="1:1">
      <c r="A6111" s="22" t="s">
        <v>961</v>
      </c>
    </row>
    <row r="6113" spans="1:1">
      <c r="A6113" s="19" t="s">
        <v>962</v>
      </c>
    </row>
    <row r="6115" spans="1:1">
      <c r="A6115" s="22" t="s">
        <v>961</v>
      </c>
    </row>
    <row r="6117" spans="1:1">
      <c r="A6117" s="19" t="s">
        <v>962</v>
      </c>
    </row>
    <row r="6119" spans="1:1">
      <c r="A6119" s="22" t="s">
        <v>961</v>
      </c>
    </row>
    <row r="6121" spans="1:1">
      <c r="A6121" s="19" t="s">
        <v>962</v>
      </c>
    </row>
    <row r="6123" spans="1:1">
      <c r="A6123" s="22" t="s">
        <v>961</v>
      </c>
    </row>
    <row r="6125" spans="1:1">
      <c r="A6125" s="19" t="s">
        <v>962</v>
      </c>
    </row>
    <row r="6127" spans="1:1">
      <c r="A6127" s="22" t="s">
        <v>961</v>
      </c>
    </row>
    <row r="6129" spans="1:2">
      <c r="A6129" s="19" t="s">
        <v>962</v>
      </c>
    </row>
    <row r="6131" spans="1:2">
      <c r="A6131" s="22" t="s">
        <v>961</v>
      </c>
    </row>
    <row r="6133" spans="1:2">
      <c r="A6133" s="19" t="s">
        <v>962</v>
      </c>
    </row>
    <row r="6135" spans="1:2">
      <c r="A6135" s="22" t="s">
        <v>961</v>
      </c>
    </row>
    <row r="6137" spans="1:2">
      <c r="A6137" s="19" t="s">
        <v>962</v>
      </c>
    </row>
    <row r="6139" spans="1:2">
      <c r="A6139" s="22">
        <v>29.106999999999999</v>
      </c>
    </row>
    <row r="6141" spans="1:2">
      <c r="A6141" s="22" t="s">
        <v>1536</v>
      </c>
    </row>
    <row r="6143" spans="1:2">
      <c r="A6143" s="22" t="s">
        <v>1537</v>
      </c>
      <c r="B6143" s="22"/>
    </row>
    <row r="6145" spans="1:1">
      <c r="A6145" s="22" t="s">
        <v>1538</v>
      </c>
    </row>
    <row r="6147" spans="1:1">
      <c r="A6147" s="22" t="s">
        <v>1539</v>
      </c>
    </row>
    <row r="6149" spans="1:1">
      <c r="A6149" s="22" t="s">
        <v>967</v>
      </c>
    </row>
    <row r="6151" spans="1:1">
      <c r="A6151" s="22" t="s">
        <v>968</v>
      </c>
    </row>
    <row r="6153" spans="1:1">
      <c r="A6153" s="22" t="s">
        <v>1540</v>
      </c>
    </row>
    <row r="6155" spans="1:1">
      <c r="A6155" s="22" t="s">
        <v>1541</v>
      </c>
    </row>
    <row r="6157" spans="1:1">
      <c r="A6157" s="22" t="s">
        <v>1542</v>
      </c>
    </row>
    <row r="6159" spans="1:1">
      <c r="A6159" s="22" t="s">
        <v>1543</v>
      </c>
    </row>
    <row r="6161" spans="1:2">
      <c r="A6161" s="22" t="s">
        <v>1544</v>
      </c>
    </row>
    <row r="6163" spans="1:2">
      <c r="A6163" s="22" t="s">
        <v>973</v>
      </c>
    </row>
    <row r="6165" spans="1:2">
      <c r="A6165" s="22" t="s">
        <v>974</v>
      </c>
    </row>
    <row r="6167" spans="1:2">
      <c r="A6167" s="22" t="s">
        <v>975</v>
      </c>
    </row>
    <row r="6169" spans="1:2">
      <c r="A6169" s="22" t="s">
        <v>133</v>
      </c>
    </row>
    <row r="6170" spans="1:2">
      <c r="A6170" s="22" t="s">
        <v>131</v>
      </c>
      <c r="B6170" s="22"/>
    </row>
    <row r="6171" spans="1:2">
      <c r="A6171" s="22" t="s">
        <v>389</v>
      </c>
      <c r="B6171" s="22"/>
    </row>
    <row r="6173" spans="1:2">
      <c r="A6173" s="19" t="s">
        <v>2169</v>
      </c>
      <c r="B6173" s="19"/>
    </row>
    <row r="6175" spans="1:2">
      <c r="A6175" s="19" t="s">
        <v>959</v>
      </c>
    </row>
    <row r="6177" spans="1:2">
      <c r="A6177" s="22" t="s">
        <v>1546</v>
      </c>
      <c r="B6177" s="22"/>
    </row>
    <row r="6179" spans="1:2">
      <c r="A6179" s="22" t="s">
        <v>133</v>
      </c>
    </row>
    <row r="6180" spans="1:2">
      <c r="A6180" s="22" t="s">
        <v>131</v>
      </c>
      <c r="B6180" s="22"/>
    </row>
    <row r="6181" spans="1:2">
      <c r="A6181" s="22" t="s">
        <v>389</v>
      </c>
      <c r="B6181" s="22"/>
    </row>
    <row r="6183" spans="1:2">
      <c r="A6183" s="32" t="s">
        <v>995</v>
      </c>
      <c r="B6183" s="32" t="s">
        <v>996</v>
      </c>
    </row>
    <row r="6184" spans="1:2">
      <c r="A6184" s="32"/>
      <c r="B6184" s="32"/>
    </row>
    <row r="6186" spans="1:2">
      <c r="A6186" s="19" t="s">
        <v>999</v>
      </c>
    </row>
    <row r="6188" spans="1:2">
      <c r="A6188" s="19" t="s">
        <v>1000</v>
      </c>
    </row>
    <row r="6190" spans="1:2">
      <c r="A6190" s="19" t="s">
        <v>2170</v>
      </c>
      <c r="B6190" s="19"/>
    </row>
    <row r="6192" spans="1:2">
      <c r="A6192" s="19" t="s">
        <v>134</v>
      </c>
    </row>
    <row r="6193" spans="1:2">
      <c r="A6193" s="22" t="s">
        <v>1002</v>
      </c>
      <c r="B6193" s="22"/>
    </row>
    <row r="6195" spans="1:2">
      <c r="A6195" s="19" t="s">
        <v>1003</v>
      </c>
    </row>
    <row r="6197" spans="1:2">
      <c r="A6197" s="22" t="s">
        <v>1547</v>
      </c>
    </row>
    <row r="6199" spans="1:2">
      <c r="A6199" s="22" t="s">
        <v>1548</v>
      </c>
      <c r="B6199" s="22"/>
    </row>
    <row r="6201" spans="1:2">
      <c r="A6201" s="22" t="s">
        <v>1547</v>
      </c>
    </row>
    <row r="6203" spans="1:2">
      <c r="A6203" s="19" t="s">
        <v>1006</v>
      </c>
    </row>
    <row r="6204" spans="1:2">
      <c r="A6204" s="19" t="s">
        <v>135</v>
      </c>
    </row>
    <row r="6205" spans="1:2">
      <c r="A6205" s="19" t="s">
        <v>2171</v>
      </c>
      <c r="B6205" s="19"/>
    </row>
    <row r="6207" spans="1:2">
      <c r="A6207" s="23" t="s">
        <v>1549</v>
      </c>
      <c r="B6207" s="23"/>
    </row>
    <row r="6209" spans="1:2">
      <c r="A6209" s="22" t="s">
        <v>1009</v>
      </c>
      <c r="B6209" s="22"/>
    </row>
    <row r="6211" spans="1:2">
      <c r="A6211" s="19" t="s">
        <v>1010</v>
      </c>
    </row>
  </sheetData>
  <mergeCells count="4">
    <mergeCell ref="A6028:A6029"/>
    <mergeCell ref="A6030:A6031"/>
    <mergeCell ref="A6183:A6184"/>
    <mergeCell ref="B6183:B6184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 enableFormatConditionsCalculation="0"/>
  <dimension ref="A1:B5048"/>
  <sheetViews>
    <sheetView topLeftCell="A43" workbookViewId="0">
      <selection activeCell="P72" sqref="A1:XFD1048576"/>
    </sheetView>
  </sheetViews>
  <sheetFormatPr baseColWidth="10" defaultRowHeight="14" x14ac:dyDescent="0"/>
  <sheetData>
    <row r="1" spans="1:2">
      <c r="A1" s="19" t="s">
        <v>388</v>
      </c>
    </row>
    <row r="3" spans="1:2" ht="40">
      <c r="A3" s="21" t="s">
        <v>133</v>
      </c>
      <c r="B3" s="25" t="s">
        <v>390</v>
      </c>
    </row>
    <row r="4" spans="1:2" ht="30">
      <c r="A4" s="21" t="s">
        <v>131</v>
      </c>
      <c r="B4" s="25" t="s">
        <v>391</v>
      </c>
    </row>
    <row r="5" spans="1:2" ht="40">
      <c r="A5" s="21" t="s">
        <v>389</v>
      </c>
      <c r="B5" s="25" t="s">
        <v>392</v>
      </c>
    </row>
    <row r="6" spans="1:2">
      <c r="A6" s="20"/>
      <c r="B6" s="20"/>
    </row>
    <row r="8" spans="1:2">
      <c r="A8" s="19" t="s">
        <v>393</v>
      </c>
    </row>
    <row r="10" spans="1:2">
      <c r="A10" s="22" t="s">
        <v>394</v>
      </c>
    </row>
    <row r="12" spans="1:2">
      <c r="A12" s="19" t="s">
        <v>395</v>
      </c>
    </row>
    <row r="14" spans="1:2">
      <c r="A14" s="19" t="s">
        <v>396</v>
      </c>
    </row>
    <row r="16" spans="1:2">
      <c r="A16" s="22" t="s">
        <v>397</v>
      </c>
    </row>
    <row r="18" spans="1:1">
      <c r="A18" s="19" t="s">
        <v>398</v>
      </c>
    </row>
    <row r="20" spans="1:1">
      <c r="A20" s="19" t="s">
        <v>399</v>
      </c>
    </row>
    <row r="22" spans="1:1">
      <c r="A22" s="19" t="s">
        <v>400</v>
      </c>
    </row>
    <row r="24" spans="1:1">
      <c r="A24" s="23" t="s">
        <v>401</v>
      </c>
    </row>
    <row r="26" spans="1:1">
      <c r="A26" s="19" t="s">
        <v>402</v>
      </c>
    </row>
    <row r="28" spans="1:1">
      <c r="A28" s="19" t="s">
        <v>403</v>
      </c>
    </row>
    <row r="30" spans="1:1">
      <c r="A30" s="22" t="s">
        <v>404</v>
      </c>
    </row>
    <row r="32" spans="1:1">
      <c r="A32" s="22" t="s">
        <v>405</v>
      </c>
    </row>
    <row r="34" spans="1:1">
      <c r="A34" s="19" t="s">
        <v>406</v>
      </c>
    </row>
    <row r="36" spans="1:1">
      <c r="A36" s="22" t="s">
        <v>407</v>
      </c>
    </row>
    <row r="38" spans="1:1">
      <c r="A38" s="22">
        <v>2</v>
      </c>
    </row>
    <row r="40" spans="1:1">
      <c r="A40" s="22" t="s">
        <v>408</v>
      </c>
    </row>
    <row r="42" spans="1:1">
      <c r="A42" s="22" t="s">
        <v>409</v>
      </c>
    </row>
    <row r="44" spans="1:1">
      <c r="A44" s="19" t="s">
        <v>406</v>
      </c>
    </row>
    <row r="46" spans="1:1">
      <c r="A46" s="22" t="s">
        <v>407</v>
      </c>
    </row>
    <row r="48" spans="1:1">
      <c r="A48" s="22">
        <v>2</v>
      </c>
    </row>
    <row r="50" spans="1:1">
      <c r="A50" s="22" t="s">
        <v>410</v>
      </c>
    </row>
    <row r="52" spans="1:1">
      <c r="A52" s="22" t="s">
        <v>411</v>
      </c>
    </row>
    <row r="54" spans="1:1">
      <c r="A54" s="19" t="s">
        <v>406</v>
      </c>
    </row>
    <row r="56" spans="1:1">
      <c r="A56" s="22" t="s">
        <v>407</v>
      </c>
    </row>
    <row r="58" spans="1:1">
      <c r="A58" s="22">
        <v>2</v>
      </c>
    </row>
    <row r="60" spans="1:1">
      <c r="A60" s="22" t="s">
        <v>412</v>
      </c>
    </row>
    <row r="62" spans="1:1">
      <c r="A62" s="22" t="s">
        <v>413</v>
      </c>
    </row>
    <row r="64" spans="1:1">
      <c r="A64" s="19" t="s">
        <v>406</v>
      </c>
    </row>
    <row r="66" spans="1:1">
      <c r="A66" s="22" t="s">
        <v>407</v>
      </c>
    </row>
    <row r="68" spans="1:1">
      <c r="A68" s="22">
        <v>3</v>
      </c>
    </row>
    <row r="70" spans="1:1">
      <c r="A70" s="22" t="s">
        <v>414</v>
      </c>
    </row>
    <row r="72" spans="1:1">
      <c r="A72" s="22" t="s">
        <v>413</v>
      </c>
    </row>
    <row r="74" spans="1:1">
      <c r="A74" s="19" t="s">
        <v>406</v>
      </c>
    </row>
    <row r="76" spans="1:1">
      <c r="A76" s="22" t="s">
        <v>407</v>
      </c>
    </row>
    <row r="78" spans="1:1">
      <c r="A78" s="22">
        <v>3</v>
      </c>
    </row>
    <row r="80" spans="1:1">
      <c r="A80" s="22" t="s">
        <v>415</v>
      </c>
    </row>
    <row r="82" spans="1:1">
      <c r="A82" s="22" t="s">
        <v>416</v>
      </c>
    </row>
    <row r="84" spans="1:1">
      <c r="A84" s="19" t="s">
        <v>406</v>
      </c>
    </row>
    <row r="86" spans="1:1">
      <c r="A86" s="22" t="s">
        <v>407</v>
      </c>
    </row>
    <row r="88" spans="1:1">
      <c r="A88" s="22">
        <v>3</v>
      </c>
    </row>
    <row r="90" spans="1:1">
      <c r="A90" s="22" t="s">
        <v>417</v>
      </c>
    </row>
    <row r="92" spans="1:1">
      <c r="A92" s="22" t="s">
        <v>418</v>
      </c>
    </row>
    <row r="94" spans="1:1">
      <c r="A94" s="19" t="s">
        <v>419</v>
      </c>
    </row>
    <row r="96" spans="1:1">
      <c r="A96" s="22" t="s">
        <v>133</v>
      </c>
    </row>
    <row r="97" spans="1:1">
      <c r="A97" s="22" t="s">
        <v>131</v>
      </c>
    </row>
    <row r="98" spans="1:1">
      <c r="A98" s="22" t="s">
        <v>389</v>
      </c>
    </row>
    <row r="100" spans="1:1">
      <c r="A100" s="19" t="s">
        <v>400</v>
      </c>
    </row>
    <row r="102" spans="1:1">
      <c r="A102" s="19" t="s">
        <v>402</v>
      </c>
    </row>
    <row r="104" spans="1:1">
      <c r="A104" s="22" t="s">
        <v>420</v>
      </c>
    </row>
    <row r="106" spans="1:1">
      <c r="A106" s="19" t="s">
        <v>406</v>
      </c>
    </row>
    <row r="108" spans="1:1">
      <c r="A108" s="22" t="s">
        <v>407</v>
      </c>
    </row>
    <row r="110" spans="1:1">
      <c r="A110" s="22">
        <v>2</v>
      </c>
    </row>
    <row r="112" spans="1:1">
      <c r="A112" s="22" t="s">
        <v>421</v>
      </c>
    </row>
    <row r="114" spans="1:1">
      <c r="A114" s="22" t="s">
        <v>422</v>
      </c>
    </row>
    <row r="116" spans="1:1">
      <c r="A116" s="19" t="s">
        <v>423</v>
      </c>
    </row>
    <row r="118" spans="1:1">
      <c r="A118" s="19" t="s">
        <v>424</v>
      </c>
    </row>
    <row r="120" spans="1:1">
      <c r="A120" s="22" t="s">
        <v>407</v>
      </c>
    </row>
    <row r="122" spans="1:1">
      <c r="A122" s="22">
        <v>1</v>
      </c>
    </row>
    <row r="124" spans="1:1">
      <c r="A124" s="22" t="s">
        <v>425</v>
      </c>
    </row>
    <row r="126" spans="1:1">
      <c r="A126" s="22" t="s">
        <v>418</v>
      </c>
    </row>
    <row r="128" spans="1:1">
      <c r="A128" s="19" t="s">
        <v>423</v>
      </c>
    </row>
    <row r="130" spans="1:1">
      <c r="A130" s="19" t="s">
        <v>424</v>
      </c>
    </row>
    <row r="132" spans="1:1">
      <c r="A132" s="22" t="s">
        <v>407</v>
      </c>
    </row>
    <row r="134" spans="1:1">
      <c r="A134" s="22">
        <v>1</v>
      </c>
    </row>
    <row r="136" spans="1:1">
      <c r="A136" s="22" t="s">
        <v>426</v>
      </c>
    </row>
    <row r="138" spans="1:1">
      <c r="A138" s="22" t="s">
        <v>418</v>
      </c>
    </row>
    <row r="140" spans="1:1">
      <c r="A140" s="19" t="s">
        <v>423</v>
      </c>
    </row>
    <row r="142" spans="1:1">
      <c r="A142" s="19" t="s">
        <v>424</v>
      </c>
    </row>
    <row r="144" spans="1:1">
      <c r="A144" s="22" t="s">
        <v>407</v>
      </c>
    </row>
    <row r="146" spans="1:1">
      <c r="A146" s="22">
        <v>1</v>
      </c>
    </row>
    <row r="148" spans="1:1">
      <c r="A148" s="22" t="s">
        <v>427</v>
      </c>
    </row>
    <row r="150" spans="1:1">
      <c r="A150" s="22" t="s">
        <v>428</v>
      </c>
    </row>
    <row r="152" spans="1:1">
      <c r="A152" s="19" t="s">
        <v>423</v>
      </c>
    </row>
    <row r="154" spans="1:1">
      <c r="A154" s="19" t="s">
        <v>424</v>
      </c>
    </row>
    <row r="156" spans="1:1">
      <c r="A156" s="22" t="s">
        <v>407</v>
      </c>
    </row>
    <row r="158" spans="1:1">
      <c r="A158" s="22">
        <v>2</v>
      </c>
    </row>
    <row r="160" spans="1:1">
      <c r="A160" s="22" t="s">
        <v>429</v>
      </c>
    </row>
    <row r="162" spans="1:1">
      <c r="A162" s="22" t="s">
        <v>430</v>
      </c>
    </row>
    <row r="164" spans="1:1">
      <c r="A164" s="19" t="s">
        <v>423</v>
      </c>
    </row>
    <row r="166" spans="1:1">
      <c r="A166" s="19" t="s">
        <v>424</v>
      </c>
    </row>
    <row r="168" spans="1:1">
      <c r="A168" s="22" t="s">
        <v>407</v>
      </c>
    </row>
    <row r="170" spans="1:1">
      <c r="A170" s="22">
        <v>1</v>
      </c>
    </row>
    <row r="172" spans="1:1">
      <c r="A172" s="22" t="s">
        <v>431</v>
      </c>
    </row>
    <row r="174" spans="1:1">
      <c r="A174" s="22" t="s">
        <v>432</v>
      </c>
    </row>
    <row r="176" spans="1:1">
      <c r="A176" s="19" t="s">
        <v>423</v>
      </c>
    </row>
    <row r="178" spans="1:1">
      <c r="A178" s="19" t="s">
        <v>424</v>
      </c>
    </row>
    <row r="180" spans="1:1">
      <c r="A180" s="22" t="s">
        <v>407</v>
      </c>
    </row>
    <row r="182" spans="1:1">
      <c r="A182" s="22">
        <v>1</v>
      </c>
    </row>
    <row r="184" spans="1:1">
      <c r="A184" s="22" t="s">
        <v>433</v>
      </c>
    </row>
    <row r="186" spans="1:1">
      <c r="A186" s="22" t="s">
        <v>432</v>
      </c>
    </row>
    <row r="188" spans="1:1">
      <c r="A188" s="19" t="s">
        <v>423</v>
      </c>
    </row>
    <row r="190" spans="1:1">
      <c r="A190" s="19" t="s">
        <v>424</v>
      </c>
    </row>
    <row r="192" spans="1:1">
      <c r="A192" s="22" t="s">
        <v>407</v>
      </c>
    </row>
    <row r="194" spans="1:1">
      <c r="A194" s="22">
        <v>2</v>
      </c>
    </row>
    <row r="196" spans="1:1">
      <c r="A196" s="19" t="s">
        <v>434</v>
      </c>
    </row>
    <row r="198" spans="1:1">
      <c r="A198" s="22" t="s">
        <v>133</v>
      </c>
    </row>
    <row r="199" spans="1:1">
      <c r="A199" s="22" t="s">
        <v>131</v>
      </c>
    </row>
    <row r="200" spans="1:1">
      <c r="A200" s="22" t="s">
        <v>389</v>
      </c>
    </row>
    <row r="202" spans="1:1">
      <c r="A202" s="19" t="s">
        <v>400</v>
      </c>
    </row>
    <row r="204" spans="1:1">
      <c r="A204" s="19" t="s">
        <v>402</v>
      </c>
    </row>
    <row r="206" spans="1:1">
      <c r="A206" s="22" t="s">
        <v>420</v>
      </c>
    </row>
    <row r="208" spans="1:1">
      <c r="A208" s="22" t="s">
        <v>435</v>
      </c>
    </row>
    <row r="210" spans="1:1">
      <c r="A210" s="22" t="s">
        <v>436</v>
      </c>
    </row>
    <row r="212" spans="1:1">
      <c r="A212" s="19" t="s">
        <v>406</v>
      </c>
    </row>
    <row r="214" spans="1:1">
      <c r="A214" s="22" t="s">
        <v>407</v>
      </c>
    </row>
    <row r="216" spans="1:1">
      <c r="A216" s="22">
        <v>2</v>
      </c>
    </row>
    <row r="218" spans="1:1">
      <c r="A218" s="22" t="s">
        <v>437</v>
      </c>
    </row>
    <row r="220" spans="1:1">
      <c r="A220" s="22" t="s">
        <v>438</v>
      </c>
    </row>
    <row r="222" spans="1:1">
      <c r="A222" s="19" t="s">
        <v>423</v>
      </c>
    </row>
    <row r="224" spans="1:1">
      <c r="A224" s="19" t="s">
        <v>424</v>
      </c>
    </row>
    <row r="226" spans="1:1">
      <c r="A226" s="22" t="s">
        <v>407</v>
      </c>
    </row>
    <row r="228" spans="1:1">
      <c r="A228" s="22">
        <v>2</v>
      </c>
    </row>
    <row r="230" spans="1:1">
      <c r="A230" s="22" t="s">
        <v>439</v>
      </c>
    </row>
    <row r="232" spans="1:1">
      <c r="A232" s="22" t="s">
        <v>422</v>
      </c>
    </row>
    <row r="234" spans="1:1">
      <c r="A234" s="19" t="s">
        <v>423</v>
      </c>
    </row>
    <row r="236" spans="1:1">
      <c r="A236" s="19" t="s">
        <v>424</v>
      </c>
    </row>
    <row r="238" spans="1:1">
      <c r="A238" s="22" t="s">
        <v>407</v>
      </c>
    </row>
    <row r="240" spans="1:1">
      <c r="A240" s="22">
        <v>2</v>
      </c>
    </row>
    <row r="242" spans="1:1">
      <c r="A242" s="22" t="s">
        <v>440</v>
      </c>
    </row>
    <row r="244" spans="1:1">
      <c r="A244" s="22" t="s">
        <v>441</v>
      </c>
    </row>
    <row r="246" spans="1:1">
      <c r="A246" s="19" t="s">
        <v>423</v>
      </c>
    </row>
    <row r="248" spans="1:1">
      <c r="A248" s="19" t="s">
        <v>424</v>
      </c>
    </row>
    <row r="250" spans="1:1">
      <c r="A250" s="22" t="s">
        <v>407</v>
      </c>
    </row>
    <row r="252" spans="1:1">
      <c r="A252" s="22">
        <v>2</v>
      </c>
    </row>
    <row r="254" spans="1:1">
      <c r="A254" s="22" t="s">
        <v>442</v>
      </c>
    </row>
    <row r="256" spans="1:1">
      <c r="A256" s="22" t="s">
        <v>441</v>
      </c>
    </row>
    <row r="258" spans="1:1">
      <c r="A258" s="19" t="s">
        <v>423</v>
      </c>
    </row>
    <row r="260" spans="1:1">
      <c r="A260" s="19" t="s">
        <v>424</v>
      </c>
    </row>
    <row r="262" spans="1:1">
      <c r="A262" s="22" t="s">
        <v>407</v>
      </c>
    </row>
    <row r="264" spans="1:1">
      <c r="A264" s="22">
        <v>2</v>
      </c>
    </row>
    <row r="266" spans="1:1">
      <c r="A266" s="22" t="s">
        <v>443</v>
      </c>
    </row>
    <row r="268" spans="1:1">
      <c r="A268" s="22" t="s">
        <v>444</v>
      </c>
    </row>
    <row r="270" spans="1:1">
      <c r="A270" s="19" t="s">
        <v>423</v>
      </c>
    </row>
    <row r="272" spans="1:1">
      <c r="A272" s="19" t="s">
        <v>424</v>
      </c>
    </row>
    <row r="274" spans="1:1">
      <c r="A274" s="22" t="s">
        <v>407</v>
      </c>
    </row>
    <row r="276" spans="1:1">
      <c r="A276" s="22">
        <v>6</v>
      </c>
    </row>
    <row r="278" spans="1:1">
      <c r="A278" s="22" t="s">
        <v>445</v>
      </c>
    </row>
    <row r="280" spans="1:1">
      <c r="A280" s="22" t="s">
        <v>446</v>
      </c>
    </row>
    <row r="282" spans="1:1">
      <c r="A282" s="19" t="s">
        <v>423</v>
      </c>
    </row>
    <row r="284" spans="1:1">
      <c r="A284" s="19" t="s">
        <v>424</v>
      </c>
    </row>
    <row r="286" spans="1:1">
      <c r="A286" s="22" t="s">
        <v>407</v>
      </c>
    </row>
    <row r="288" spans="1:1">
      <c r="A288" s="22">
        <v>2</v>
      </c>
    </row>
    <row r="290" spans="1:1">
      <c r="A290" s="22" t="s">
        <v>447</v>
      </c>
    </row>
    <row r="292" spans="1:1">
      <c r="A292" s="22" t="s">
        <v>448</v>
      </c>
    </row>
    <row r="294" spans="1:1">
      <c r="A294" s="19" t="s">
        <v>423</v>
      </c>
    </row>
    <row r="296" spans="1:1">
      <c r="A296" s="19" t="s">
        <v>424</v>
      </c>
    </row>
    <row r="298" spans="1:1">
      <c r="A298" s="22" t="s">
        <v>407</v>
      </c>
    </row>
    <row r="300" spans="1:1">
      <c r="A300" s="22">
        <v>3</v>
      </c>
    </row>
    <row r="302" spans="1:1">
      <c r="A302" s="19" t="s">
        <v>449</v>
      </c>
    </row>
    <row r="304" spans="1:1">
      <c r="A304" s="22" t="s">
        <v>133</v>
      </c>
    </row>
    <row r="305" spans="1:1">
      <c r="A305" s="22" t="s">
        <v>131</v>
      </c>
    </row>
    <row r="306" spans="1:1">
      <c r="A306" s="22" t="s">
        <v>389</v>
      </c>
    </row>
    <row r="308" spans="1:1">
      <c r="A308" s="19" t="s">
        <v>400</v>
      </c>
    </row>
    <row r="310" spans="1:1">
      <c r="A310" s="19" t="s">
        <v>402</v>
      </c>
    </row>
    <row r="312" spans="1:1">
      <c r="A312" s="22" t="s">
        <v>420</v>
      </c>
    </row>
    <row r="314" spans="1:1">
      <c r="A314" s="22" t="s">
        <v>450</v>
      </c>
    </row>
    <row r="316" spans="1:1">
      <c r="A316" s="22" t="s">
        <v>451</v>
      </c>
    </row>
    <row r="318" spans="1:1">
      <c r="A318" s="19" t="s">
        <v>406</v>
      </c>
    </row>
    <row r="320" spans="1:1">
      <c r="A320" s="22" t="s">
        <v>407</v>
      </c>
    </row>
    <row r="322" spans="1:1">
      <c r="A322" s="22">
        <v>2</v>
      </c>
    </row>
    <row r="324" spans="1:1">
      <c r="A324" s="22" t="s">
        <v>452</v>
      </c>
    </row>
    <row r="326" spans="1:1">
      <c r="A326" s="22" t="s">
        <v>453</v>
      </c>
    </row>
    <row r="328" spans="1:1">
      <c r="A328" s="19" t="s">
        <v>423</v>
      </c>
    </row>
    <row r="330" spans="1:1">
      <c r="A330" s="19" t="s">
        <v>424</v>
      </c>
    </row>
    <row r="332" spans="1:1">
      <c r="A332" s="22" t="s">
        <v>407</v>
      </c>
    </row>
    <row r="334" spans="1:1">
      <c r="A334" s="22">
        <v>2</v>
      </c>
    </row>
    <row r="336" spans="1:1">
      <c r="A336" s="22" t="s">
        <v>454</v>
      </c>
    </row>
    <row r="338" spans="1:1">
      <c r="A338" s="22" t="s">
        <v>446</v>
      </c>
    </row>
    <row r="340" spans="1:1">
      <c r="A340" s="19" t="s">
        <v>423</v>
      </c>
    </row>
    <row r="342" spans="1:1">
      <c r="A342" s="19" t="s">
        <v>424</v>
      </c>
    </row>
    <row r="344" spans="1:1">
      <c r="A344" s="22" t="s">
        <v>407</v>
      </c>
    </row>
    <row r="346" spans="1:1">
      <c r="A346" s="22">
        <v>2</v>
      </c>
    </row>
    <row r="348" spans="1:1">
      <c r="A348" s="22" t="s">
        <v>455</v>
      </c>
    </row>
    <row r="350" spans="1:1">
      <c r="A350" s="22" t="s">
        <v>456</v>
      </c>
    </row>
    <row r="352" spans="1:1">
      <c r="A352" s="19" t="s">
        <v>423</v>
      </c>
    </row>
    <row r="354" spans="1:1">
      <c r="A354" s="19" t="s">
        <v>424</v>
      </c>
    </row>
    <row r="356" spans="1:1">
      <c r="A356" s="22" t="s">
        <v>407</v>
      </c>
    </row>
    <row r="358" spans="1:1">
      <c r="A358" s="22">
        <v>3</v>
      </c>
    </row>
    <row r="360" spans="1:1">
      <c r="A360" s="22" t="s">
        <v>457</v>
      </c>
    </row>
    <row r="362" spans="1:1">
      <c r="A362" s="22" t="s">
        <v>458</v>
      </c>
    </row>
    <row r="364" spans="1:1">
      <c r="A364" s="19" t="s">
        <v>423</v>
      </c>
    </row>
    <row r="366" spans="1:1">
      <c r="A366" s="19" t="s">
        <v>424</v>
      </c>
    </row>
    <row r="368" spans="1:1">
      <c r="A368" s="22" t="s">
        <v>407</v>
      </c>
    </row>
    <row r="370" spans="1:1">
      <c r="A370" s="22">
        <v>3</v>
      </c>
    </row>
    <row r="372" spans="1:1">
      <c r="A372" s="22" t="s">
        <v>459</v>
      </c>
    </row>
    <row r="374" spans="1:1">
      <c r="A374" s="22" t="s">
        <v>460</v>
      </c>
    </row>
    <row r="376" spans="1:1">
      <c r="A376" s="19" t="s">
        <v>423</v>
      </c>
    </row>
    <row r="378" spans="1:1">
      <c r="A378" s="19" t="s">
        <v>424</v>
      </c>
    </row>
    <row r="380" spans="1:1">
      <c r="A380" s="22" t="s">
        <v>407</v>
      </c>
    </row>
    <row r="382" spans="1:1">
      <c r="A382" s="22">
        <v>5</v>
      </c>
    </row>
    <row r="384" spans="1:1">
      <c r="A384" s="22" t="s">
        <v>461</v>
      </c>
    </row>
    <row r="386" spans="1:1">
      <c r="A386" s="22" t="s">
        <v>462</v>
      </c>
    </row>
    <row r="388" spans="1:1">
      <c r="A388" s="19" t="s">
        <v>423</v>
      </c>
    </row>
    <row r="390" spans="1:1">
      <c r="A390" s="19" t="s">
        <v>424</v>
      </c>
    </row>
    <row r="392" spans="1:1">
      <c r="A392" s="22" t="s">
        <v>407</v>
      </c>
    </row>
    <row r="394" spans="1:1">
      <c r="A394" s="22">
        <v>2</v>
      </c>
    </row>
    <row r="396" spans="1:1">
      <c r="A396" s="22" t="s">
        <v>463</v>
      </c>
    </row>
    <row r="398" spans="1:1">
      <c r="A398" s="22" t="s">
        <v>464</v>
      </c>
    </row>
    <row r="400" spans="1:1">
      <c r="A400" s="19" t="s">
        <v>423</v>
      </c>
    </row>
    <row r="402" spans="1:1">
      <c r="A402" s="19" t="s">
        <v>424</v>
      </c>
    </row>
    <row r="404" spans="1:1">
      <c r="A404" s="22" t="s">
        <v>407</v>
      </c>
    </row>
    <row r="406" spans="1:1">
      <c r="A406" s="22">
        <v>2</v>
      </c>
    </row>
    <row r="408" spans="1:1">
      <c r="A408" s="19" t="s">
        <v>465</v>
      </c>
    </row>
    <row r="410" spans="1:1">
      <c r="A410" s="22" t="s">
        <v>133</v>
      </c>
    </row>
    <row r="411" spans="1:1">
      <c r="A411" s="22" t="s">
        <v>131</v>
      </c>
    </row>
    <row r="412" spans="1:1">
      <c r="A412" s="22" t="s">
        <v>389</v>
      </c>
    </row>
    <row r="414" spans="1:1">
      <c r="A414" s="19" t="s">
        <v>400</v>
      </c>
    </row>
    <row r="416" spans="1:1">
      <c r="A416" s="19" t="s">
        <v>402</v>
      </c>
    </row>
    <row r="418" spans="1:1">
      <c r="A418" s="22" t="s">
        <v>420</v>
      </c>
    </row>
    <row r="420" spans="1:1">
      <c r="A420" s="22" t="s">
        <v>466</v>
      </c>
    </row>
    <row r="422" spans="1:1">
      <c r="A422" s="22" t="s">
        <v>467</v>
      </c>
    </row>
    <row r="424" spans="1:1">
      <c r="A424" s="19" t="s">
        <v>406</v>
      </c>
    </row>
    <row r="426" spans="1:1">
      <c r="A426" s="22" t="s">
        <v>407</v>
      </c>
    </row>
    <row r="428" spans="1:1">
      <c r="A428" s="22">
        <v>2</v>
      </c>
    </row>
    <row r="430" spans="1:1">
      <c r="A430" s="22" t="s">
        <v>468</v>
      </c>
    </row>
    <row r="432" spans="1:1">
      <c r="A432" s="22" t="s">
        <v>469</v>
      </c>
    </row>
    <row r="434" spans="1:1">
      <c r="A434" s="19" t="s">
        <v>423</v>
      </c>
    </row>
    <row r="436" spans="1:1">
      <c r="A436" s="19" t="s">
        <v>424</v>
      </c>
    </row>
    <row r="438" spans="1:1">
      <c r="A438" s="22" t="s">
        <v>407</v>
      </c>
    </row>
    <row r="440" spans="1:1">
      <c r="A440" s="22">
        <v>2</v>
      </c>
    </row>
    <row r="442" spans="1:1">
      <c r="A442" s="22" t="s">
        <v>470</v>
      </c>
    </row>
    <row r="444" spans="1:1">
      <c r="A444" s="22" t="s">
        <v>471</v>
      </c>
    </row>
    <row r="446" spans="1:1">
      <c r="A446" s="19" t="s">
        <v>423</v>
      </c>
    </row>
    <row r="448" spans="1:1">
      <c r="A448" s="19" t="s">
        <v>424</v>
      </c>
    </row>
    <row r="450" spans="1:1">
      <c r="A450" s="22" t="s">
        <v>407</v>
      </c>
    </row>
    <row r="452" spans="1:1">
      <c r="A452" s="22">
        <v>2</v>
      </c>
    </row>
    <row r="454" spans="1:1">
      <c r="A454" s="22" t="s">
        <v>472</v>
      </c>
    </row>
    <row r="456" spans="1:1">
      <c r="A456" s="22" t="s">
        <v>473</v>
      </c>
    </row>
    <row r="458" spans="1:1">
      <c r="A458" s="19" t="s">
        <v>423</v>
      </c>
    </row>
    <row r="460" spans="1:1">
      <c r="A460" s="19" t="s">
        <v>424</v>
      </c>
    </row>
    <row r="462" spans="1:1">
      <c r="A462" s="22" t="s">
        <v>407</v>
      </c>
    </row>
    <row r="464" spans="1:1">
      <c r="A464" s="22">
        <v>2</v>
      </c>
    </row>
    <row r="466" spans="1:1">
      <c r="A466" s="22" t="s">
        <v>474</v>
      </c>
    </row>
    <row r="468" spans="1:1">
      <c r="A468" s="22" t="s">
        <v>453</v>
      </c>
    </row>
    <row r="470" spans="1:1">
      <c r="A470" s="19" t="s">
        <v>423</v>
      </c>
    </row>
    <row r="472" spans="1:1">
      <c r="A472" s="19" t="s">
        <v>424</v>
      </c>
    </row>
    <row r="474" spans="1:1">
      <c r="A474" s="22" t="s">
        <v>407</v>
      </c>
    </row>
    <row r="476" spans="1:1">
      <c r="A476" s="22">
        <v>2</v>
      </c>
    </row>
    <row r="478" spans="1:1">
      <c r="A478" s="22" t="s">
        <v>475</v>
      </c>
    </row>
    <row r="480" spans="1:1">
      <c r="A480" s="22" t="s">
        <v>448</v>
      </c>
    </row>
    <row r="482" spans="1:1">
      <c r="A482" s="19" t="s">
        <v>423</v>
      </c>
    </row>
    <row r="484" spans="1:1">
      <c r="A484" s="19" t="s">
        <v>424</v>
      </c>
    </row>
    <row r="486" spans="1:1">
      <c r="A486" s="22" t="s">
        <v>407</v>
      </c>
    </row>
    <row r="488" spans="1:1">
      <c r="A488" s="22">
        <v>2</v>
      </c>
    </row>
    <row r="490" spans="1:1">
      <c r="A490" s="22" t="s">
        <v>476</v>
      </c>
    </row>
    <row r="492" spans="1:1">
      <c r="A492" s="22" t="s">
        <v>448</v>
      </c>
    </row>
    <row r="494" spans="1:1">
      <c r="A494" s="19" t="s">
        <v>423</v>
      </c>
    </row>
    <row r="496" spans="1:1">
      <c r="A496" s="19" t="s">
        <v>424</v>
      </c>
    </row>
    <row r="498" spans="1:1">
      <c r="A498" s="22" t="s">
        <v>407</v>
      </c>
    </row>
    <row r="500" spans="1:1">
      <c r="A500" s="22">
        <v>2</v>
      </c>
    </row>
    <row r="502" spans="1:1">
      <c r="A502" s="22" t="s">
        <v>477</v>
      </c>
    </row>
    <row r="504" spans="1:1">
      <c r="A504" s="22" t="s">
        <v>436</v>
      </c>
    </row>
    <row r="506" spans="1:1">
      <c r="A506" s="19" t="s">
        <v>423</v>
      </c>
    </row>
    <row r="508" spans="1:1">
      <c r="A508" s="19" t="s">
        <v>424</v>
      </c>
    </row>
    <row r="510" spans="1:1">
      <c r="A510" s="22" t="s">
        <v>407</v>
      </c>
    </row>
    <row r="512" spans="1:1">
      <c r="A512" s="22">
        <v>2</v>
      </c>
    </row>
    <row r="514" spans="1:1">
      <c r="A514" s="19" t="s">
        <v>478</v>
      </c>
    </row>
    <row r="516" spans="1:1">
      <c r="A516" s="22" t="s">
        <v>133</v>
      </c>
    </row>
    <row r="517" spans="1:1">
      <c r="A517" s="22" t="s">
        <v>131</v>
      </c>
    </row>
    <row r="518" spans="1:1">
      <c r="A518" s="22" t="s">
        <v>389</v>
      </c>
    </row>
    <row r="520" spans="1:1">
      <c r="A520" s="19" t="s">
        <v>400</v>
      </c>
    </row>
    <row r="522" spans="1:1">
      <c r="A522" s="19" t="s">
        <v>402</v>
      </c>
    </row>
    <row r="524" spans="1:1">
      <c r="A524" s="22" t="s">
        <v>420</v>
      </c>
    </row>
    <row r="526" spans="1:1">
      <c r="A526" s="22" t="s">
        <v>479</v>
      </c>
    </row>
    <row r="528" spans="1:1">
      <c r="A528" s="22" t="s">
        <v>464</v>
      </c>
    </row>
    <row r="530" spans="1:1">
      <c r="A530" s="19" t="s">
        <v>406</v>
      </c>
    </row>
    <row r="532" spans="1:1">
      <c r="A532" s="22" t="s">
        <v>407</v>
      </c>
    </row>
    <row r="534" spans="1:1">
      <c r="A534" s="22">
        <v>2</v>
      </c>
    </row>
    <row r="536" spans="1:1">
      <c r="A536" s="22" t="s">
        <v>480</v>
      </c>
    </row>
    <row r="538" spans="1:1">
      <c r="A538" s="22" t="s">
        <v>481</v>
      </c>
    </row>
    <row r="540" spans="1:1">
      <c r="A540" s="19" t="s">
        <v>423</v>
      </c>
    </row>
    <row r="542" spans="1:1">
      <c r="A542" s="19" t="s">
        <v>424</v>
      </c>
    </row>
    <row r="544" spans="1:1">
      <c r="A544" s="22" t="s">
        <v>407</v>
      </c>
    </row>
    <row r="546" spans="1:1">
      <c r="A546" s="22">
        <v>2</v>
      </c>
    </row>
    <row r="548" spans="1:1">
      <c r="A548" s="22" t="s">
        <v>482</v>
      </c>
    </row>
    <row r="550" spans="1:1">
      <c r="A550" s="22" t="s">
        <v>460</v>
      </c>
    </row>
    <row r="552" spans="1:1">
      <c r="A552" s="19" t="s">
        <v>423</v>
      </c>
    </row>
    <row r="554" spans="1:1">
      <c r="A554" s="19" t="s">
        <v>424</v>
      </c>
    </row>
    <row r="556" spans="1:1">
      <c r="A556" s="22" t="s">
        <v>407</v>
      </c>
    </row>
    <row r="558" spans="1:1">
      <c r="A558" s="22">
        <v>6</v>
      </c>
    </row>
    <row r="560" spans="1:1">
      <c r="A560" s="22" t="s">
        <v>483</v>
      </c>
    </row>
    <row r="562" spans="1:1">
      <c r="A562" s="22" t="s">
        <v>460</v>
      </c>
    </row>
    <row r="564" spans="1:1">
      <c r="A564" s="19" t="s">
        <v>423</v>
      </c>
    </row>
    <row r="566" spans="1:1">
      <c r="A566" s="19" t="s">
        <v>424</v>
      </c>
    </row>
    <row r="568" spans="1:1">
      <c r="A568" s="22" t="s">
        <v>407</v>
      </c>
    </row>
    <row r="570" spans="1:1">
      <c r="A570" s="22">
        <v>6</v>
      </c>
    </row>
    <row r="572" spans="1:1">
      <c r="A572" s="22" t="s">
        <v>484</v>
      </c>
    </row>
    <row r="574" spans="1:1">
      <c r="A574" s="22" t="s">
        <v>485</v>
      </c>
    </row>
    <row r="576" spans="1:1">
      <c r="A576" s="19" t="s">
        <v>423</v>
      </c>
    </row>
    <row r="578" spans="1:1">
      <c r="A578" s="19" t="s">
        <v>424</v>
      </c>
    </row>
    <row r="580" spans="1:1">
      <c r="A580" s="22" t="s">
        <v>407</v>
      </c>
    </row>
    <row r="582" spans="1:1">
      <c r="A582" s="22">
        <v>2</v>
      </c>
    </row>
    <row r="584" spans="1:1">
      <c r="A584" s="22" t="s">
        <v>486</v>
      </c>
    </row>
    <row r="586" spans="1:1">
      <c r="A586" s="22" t="s">
        <v>458</v>
      </c>
    </row>
    <row r="588" spans="1:1">
      <c r="A588" s="19" t="s">
        <v>423</v>
      </c>
    </row>
    <row r="590" spans="1:1">
      <c r="A590" s="19" t="s">
        <v>424</v>
      </c>
    </row>
    <row r="592" spans="1:1">
      <c r="A592" s="22" t="s">
        <v>407</v>
      </c>
    </row>
    <row r="594" spans="1:1">
      <c r="A594" s="22">
        <v>4</v>
      </c>
    </row>
    <row r="596" spans="1:1">
      <c r="A596" s="22" t="s">
        <v>487</v>
      </c>
    </row>
    <row r="598" spans="1:1">
      <c r="A598" s="22" t="s">
        <v>456</v>
      </c>
    </row>
    <row r="600" spans="1:1">
      <c r="A600" s="19" t="s">
        <v>423</v>
      </c>
    </row>
    <row r="602" spans="1:1">
      <c r="A602" s="19" t="s">
        <v>424</v>
      </c>
    </row>
    <row r="604" spans="1:1">
      <c r="A604" s="22" t="s">
        <v>407</v>
      </c>
    </row>
    <row r="606" spans="1:1">
      <c r="A606" s="22">
        <v>2</v>
      </c>
    </row>
    <row r="608" spans="1:1">
      <c r="A608" s="22" t="s">
        <v>488</v>
      </c>
    </row>
    <row r="610" spans="1:1">
      <c r="A610" s="22" t="s">
        <v>489</v>
      </c>
    </row>
    <row r="612" spans="1:1">
      <c r="A612" s="19" t="s">
        <v>423</v>
      </c>
    </row>
    <row r="614" spans="1:1">
      <c r="A614" s="19" t="s">
        <v>424</v>
      </c>
    </row>
    <row r="616" spans="1:1">
      <c r="A616" s="22" t="s">
        <v>407</v>
      </c>
    </row>
    <row r="618" spans="1:1">
      <c r="A618" s="22">
        <v>2</v>
      </c>
    </row>
    <row r="620" spans="1:1">
      <c r="A620" s="19" t="s">
        <v>490</v>
      </c>
    </row>
    <row r="622" spans="1:1">
      <c r="A622" s="22" t="s">
        <v>133</v>
      </c>
    </row>
    <row r="623" spans="1:1">
      <c r="A623" s="22" t="s">
        <v>131</v>
      </c>
    </row>
    <row r="624" spans="1:1">
      <c r="A624" s="22" t="s">
        <v>389</v>
      </c>
    </row>
    <row r="626" spans="1:1">
      <c r="A626" s="19" t="s">
        <v>400</v>
      </c>
    </row>
    <row r="628" spans="1:1">
      <c r="A628" s="19" t="s">
        <v>402</v>
      </c>
    </row>
    <row r="630" spans="1:1">
      <c r="A630" s="22" t="s">
        <v>420</v>
      </c>
    </row>
    <row r="632" spans="1:1">
      <c r="A632" s="22" t="s">
        <v>491</v>
      </c>
    </row>
    <row r="634" spans="1:1">
      <c r="A634" s="22" t="s">
        <v>492</v>
      </c>
    </row>
    <row r="636" spans="1:1">
      <c r="A636" s="19" t="s">
        <v>406</v>
      </c>
    </row>
    <row r="638" spans="1:1">
      <c r="A638" s="22" t="s">
        <v>407</v>
      </c>
    </row>
    <row r="640" spans="1:1">
      <c r="A640" s="22">
        <v>2</v>
      </c>
    </row>
    <row r="642" spans="1:1">
      <c r="A642" s="22" t="s">
        <v>493</v>
      </c>
    </row>
    <row r="644" spans="1:1">
      <c r="A644" s="22" t="s">
        <v>438</v>
      </c>
    </row>
    <row r="646" spans="1:1">
      <c r="A646" s="19" t="s">
        <v>423</v>
      </c>
    </row>
    <row r="648" spans="1:1">
      <c r="A648" s="19" t="s">
        <v>424</v>
      </c>
    </row>
    <row r="650" spans="1:1">
      <c r="A650" s="22" t="s">
        <v>407</v>
      </c>
    </row>
    <row r="652" spans="1:1">
      <c r="A652" s="22">
        <v>2</v>
      </c>
    </row>
    <row r="654" spans="1:1">
      <c r="A654" s="22" t="s">
        <v>494</v>
      </c>
    </row>
    <row r="656" spans="1:1">
      <c r="A656" s="22" t="s">
        <v>495</v>
      </c>
    </row>
    <row r="658" spans="1:1">
      <c r="A658" s="19" t="s">
        <v>423</v>
      </c>
    </row>
    <row r="660" spans="1:1">
      <c r="A660" s="19" t="s">
        <v>424</v>
      </c>
    </row>
    <row r="662" spans="1:1">
      <c r="A662" s="22" t="s">
        <v>407</v>
      </c>
    </row>
    <row r="664" spans="1:1">
      <c r="A664" s="22">
        <v>6</v>
      </c>
    </row>
    <row r="666" spans="1:1">
      <c r="A666" s="22" t="s">
        <v>496</v>
      </c>
    </row>
    <row r="668" spans="1:1">
      <c r="A668" s="22" t="s">
        <v>495</v>
      </c>
    </row>
    <row r="670" spans="1:1">
      <c r="A670" s="19" t="s">
        <v>423</v>
      </c>
    </row>
    <row r="672" spans="1:1">
      <c r="A672" s="19" t="s">
        <v>424</v>
      </c>
    </row>
    <row r="674" spans="1:1">
      <c r="A674" s="22" t="s">
        <v>407</v>
      </c>
    </row>
    <row r="676" spans="1:1">
      <c r="A676" s="22">
        <v>6</v>
      </c>
    </row>
    <row r="678" spans="1:1">
      <c r="A678" s="22" t="s">
        <v>497</v>
      </c>
    </row>
    <row r="680" spans="1:1">
      <c r="A680" s="22" t="s">
        <v>495</v>
      </c>
    </row>
    <row r="682" spans="1:1">
      <c r="A682" s="19" t="s">
        <v>423</v>
      </c>
    </row>
    <row r="684" spans="1:1">
      <c r="A684" s="19" t="s">
        <v>424</v>
      </c>
    </row>
    <row r="686" spans="1:1">
      <c r="A686" s="22" t="s">
        <v>407</v>
      </c>
    </row>
    <row r="688" spans="1:1">
      <c r="A688" s="22">
        <v>6</v>
      </c>
    </row>
    <row r="690" spans="1:1">
      <c r="A690" s="22" t="s">
        <v>498</v>
      </c>
    </row>
    <row r="692" spans="1:1">
      <c r="A692" s="22" t="s">
        <v>495</v>
      </c>
    </row>
    <row r="694" spans="1:1">
      <c r="A694" s="19" t="s">
        <v>423</v>
      </c>
    </row>
    <row r="696" spans="1:1">
      <c r="A696" s="19" t="s">
        <v>424</v>
      </c>
    </row>
    <row r="698" spans="1:1">
      <c r="A698" s="22" t="s">
        <v>407</v>
      </c>
    </row>
    <row r="700" spans="1:1">
      <c r="A700" s="22">
        <v>6</v>
      </c>
    </row>
    <row r="702" spans="1:1">
      <c r="A702" s="22" t="s">
        <v>499</v>
      </c>
    </row>
    <row r="704" spans="1:1">
      <c r="A704" s="22" t="s">
        <v>444</v>
      </c>
    </row>
    <row r="706" spans="1:1">
      <c r="A706" s="19" t="s">
        <v>423</v>
      </c>
    </row>
    <row r="708" spans="1:1">
      <c r="A708" s="19" t="s">
        <v>424</v>
      </c>
    </row>
    <row r="710" spans="1:1">
      <c r="A710" s="22" t="s">
        <v>407</v>
      </c>
    </row>
    <row r="712" spans="1:1">
      <c r="A712" s="22">
        <v>6</v>
      </c>
    </row>
    <row r="714" spans="1:1">
      <c r="A714" s="22" t="s">
        <v>500</v>
      </c>
    </row>
    <row r="716" spans="1:1">
      <c r="A716" s="22" t="s">
        <v>446</v>
      </c>
    </row>
    <row r="718" spans="1:1">
      <c r="A718" s="19" t="s">
        <v>423</v>
      </c>
    </row>
    <row r="720" spans="1:1">
      <c r="A720" s="19" t="s">
        <v>424</v>
      </c>
    </row>
    <row r="722" spans="1:1">
      <c r="A722" s="22" t="s">
        <v>407</v>
      </c>
    </row>
    <row r="724" spans="1:1">
      <c r="A724" s="22">
        <v>2</v>
      </c>
    </row>
    <row r="726" spans="1:1">
      <c r="A726" s="19" t="s">
        <v>501</v>
      </c>
    </row>
    <row r="728" spans="1:1">
      <c r="A728" s="22" t="s">
        <v>133</v>
      </c>
    </row>
    <row r="729" spans="1:1">
      <c r="A729" s="22" t="s">
        <v>131</v>
      </c>
    </row>
    <row r="730" spans="1:1">
      <c r="A730" s="22" t="s">
        <v>389</v>
      </c>
    </row>
    <row r="732" spans="1:1">
      <c r="A732" s="19" t="s">
        <v>400</v>
      </c>
    </row>
    <row r="734" spans="1:1">
      <c r="A734" s="19" t="s">
        <v>402</v>
      </c>
    </row>
    <row r="736" spans="1:1">
      <c r="A736" s="22" t="s">
        <v>420</v>
      </c>
    </row>
    <row r="738" spans="1:1">
      <c r="A738" s="22" t="s">
        <v>502</v>
      </c>
    </row>
    <row r="740" spans="1:1">
      <c r="A740" s="22" t="s">
        <v>489</v>
      </c>
    </row>
    <row r="742" spans="1:1">
      <c r="A742" s="19" t="s">
        <v>406</v>
      </c>
    </row>
    <row r="744" spans="1:1">
      <c r="A744" s="22" t="s">
        <v>407</v>
      </c>
    </row>
    <row r="746" spans="1:1">
      <c r="A746" s="22">
        <v>2</v>
      </c>
    </row>
    <row r="748" spans="1:1">
      <c r="A748" s="22" t="s">
        <v>503</v>
      </c>
    </row>
    <row r="750" spans="1:1">
      <c r="A750" s="22" t="s">
        <v>504</v>
      </c>
    </row>
    <row r="752" spans="1:1">
      <c r="A752" s="19" t="s">
        <v>423</v>
      </c>
    </row>
    <row r="754" spans="1:1">
      <c r="A754" s="19" t="s">
        <v>424</v>
      </c>
    </row>
    <row r="756" spans="1:1">
      <c r="A756" s="22" t="s">
        <v>407</v>
      </c>
    </row>
    <row r="758" spans="1:1">
      <c r="A758" s="22">
        <v>2</v>
      </c>
    </row>
    <row r="760" spans="1:1">
      <c r="A760" s="22" t="s">
        <v>505</v>
      </c>
    </row>
    <row r="762" spans="1:1">
      <c r="A762" s="22" t="s">
        <v>481</v>
      </c>
    </row>
    <row r="764" spans="1:1">
      <c r="A764" s="19" t="s">
        <v>423</v>
      </c>
    </row>
    <row r="766" spans="1:1">
      <c r="A766" s="19" t="s">
        <v>424</v>
      </c>
    </row>
    <row r="768" spans="1:1">
      <c r="A768" s="22" t="s">
        <v>407</v>
      </c>
    </row>
    <row r="770" spans="1:1">
      <c r="A770" s="22">
        <v>2</v>
      </c>
    </row>
    <row r="772" spans="1:1">
      <c r="A772" s="22" t="s">
        <v>506</v>
      </c>
    </row>
    <row r="774" spans="1:1">
      <c r="A774" s="22" t="s">
        <v>507</v>
      </c>
    </row>
    <row r="776" spans="1:1">
      <c r="A776" s="19" t="s">
        <v>423</v>
      </c>
    </row>
    <row r="778" spans="1:1">
      <c r="A778" s="19" t="s">
        <v>424</v>
      </c>
    </row>
    <row r="780" spans="1:1">
      <c r="A780" s="22" t="s">
        <v>407</v>
      </c>
    </row>
    <row r="782" spans="1:1">
      <c r="A782" s="22">
        <v>3</v>
      </c>
    </row>
    <row r="784" spans="1:1">
      <c r="A784" s="22" t="s">
        <v>508</v>
      </c>
    </row>
    <row r="786" spans="1:1">
      <c r="A786" s="22" t="s">
        <v>507</v>
      </c>
    </row>
    <row r="788" spans="1:1">
      <c r="A788" s="19" t="s">
        <v>423</v>
      </c>
    </row>
    <row r="790" spans="1:1">
      <c r="A790" s="19" t="s">
        <v>424</v>
      </c>
    </row>
    <row r="792" spans="1:1">
      <c r="A792" s="22" t="s">
        <v>407</v>
      </c>
    </row>
    <row r="794" spans="1:1">
      <c r="A794" s="22">
        <v>3</v>
      </c>
    </row>
    <row r="796" spans="1:1">
      <c r="A796" s="22" t="s">
        <v>509</v>
      </c>
    </row>
    <row r="798" spans="1:1">
      <c r="A798" s="22" t="s">
        <v>510</v>
      </c>
    </row>
    <row r="800" spans="1:1">
      <c r="A800" s="19" t="s">
        <v>423</v>
      </c>
    </row>
    <row r="802" spans="1:1">
      <c r="A802" s="19" t="s">
        <v>424</v>
      </c>
    </row>
    <row r="804" spans="1:1">
      <c r="A804" s="22" t="s">
        <v>407</v>
      </c>
    </row>
    <row r="806" spans="1:1">
      <c r="A806" s="22">
        <v>2</v>
      </c>
    </row>
    <row r="808" spans="1:1">
      <c r="A808" s="22" t="s">
        <v>511</v>
      </c>
    </row>
    <row r="810" spans="1:1">
      <c r="A810" s="22" t="s">
        <v>512</v>
      </c>
    </row>
    <row r="812" spans="1:1">
      <c r="A812" s="19" t="s">
        <v>423</v>
      </c>
    </row>
    <row r="814" spans="1:1">
      <c r="A814" s="19" t="s">
        <v>424</v>
      </c>
    </row>
    <row r="816" spans="1:1">
      <c r="A816" s="22" t="s">
        <v>407</v>
      </c>
    </row>
    <row r="818" spans="1:1">
      <c r="A818" s="22">
        <v>2</v>
      </c>
    </row>
    <row r="820" spans="1:1">
      <c r="A820" s="22" t="s">
        <v>513</v>
      </c>
    </row>
    <row r="822" spans="1:1">
      <c r="A822" s="22" t="s">
        <v>514</v>
      </c>
    </row>
    <row r="824" spans="1:1">
      <c r="A824" s="19" t="s">
        <v>423</v>
      </c>
    </row>
    <row r="826" spans="1:1">
      <c r="A826" s="19" t="s">
        <v>424</v>
      </c>
    </row>
    <row r="828" spans="1:1">
      <c r="A828" s="22" t="s">
        <v>407</v>
      </c>
    </row>
    <row r="830" spans="1:1">
      <c r="A830" s="22">
        <v>2</v>
      </c>
    </row>
    <row r="832" spans="1:1">
      <c r="A832" s="19" t="s">
        <v>515</v>
      </c>
    </row>
    <row r="834" spans="1:1">
      <c r="A834" s="22" t="s">
        <v>133</v>
      </c>
    </row>
    <row r="835" spans="1:1">
      <c r="A835" s="22" t="s">
        <v>131</v>
      </c>
    </row>
    <row r="836" spans="1:1">
      <c r="A836" s="22" t="s">
        <v>389</v>
      </c>
    </row>
    <row r="838" spans="1:1">
      <c r="A838" s="19" t="s">
        <v>400</v>
      </c>
    </row>
    <row r="840" spans="1:1">
      <c r="A840" s="19" t="s">
        <v>402</v>
      </c>
    </row>
    <row r="842" spans="1:1">
      <c r="A842" s="22" t="s">
        <v>420</v>
      </c>
    </row>
    <row r="844" spans="1:1">
      <c r="A844" s="22" t="s">
        <v>516</v>
      </c>
    </row>
    <row r="846" spans="1:1">
      <c r="A846" s="22" t="s">
        <v>517</v>
      </c>
    </row>
    <row r="848" spans="1:1">
      <c r="A848" s="19" t="s">
        <v>406</v>
      </c>
    </row>
    <row r="850" spans="1:1">
      <c r="A850" s="22" t="s">
        <v>407</v>
      </c>
    </row>
    <row r="852" spans="1:1">
      <c r="A852" s="22">
        <v>2</v>
      </c>
    </row>
    <row r="854" spans="1:1">
      <c r="A854" s="22" t="s">
        <v>518</v>
      </c>
    </row>
    <row r="856" spans="1:1">
      <c r="A856" s="22" t="s">
        <v>519</v>
      </c>
    </row>
    <row r="858" spans="1:1">
      <c r="A858" s="19" t="s">
        <v>423</v>
      </c>
    </row>
    <row r="860" spans="1:1">
      <c r="A860" s="19" t="s">
        <v>424</v>
      </c>
    </row>
    <row r="862" spans="1:1">
      <c r="A862" s="22" t="s">
        <v>407</v>
      </c>
    </row>
    <row r="864" spans="1:1">
      <c r="A864" s="22">
        <v>2</v>
      </c>
    </row>
    <row r="866" spans="1:1">
      <c r="A866" s="22" t="s">
        <v>520</v>
      </c>
    </row>
    <row r="868" spans="1:1">
      <c r="A868" s="22" t="s">
        <v>521</v>
      </c>
    </row>
    <row r="870" spans="1:1">
      <c r="A870" s="19" t="s">
        <v>423</v>
      </c>
    </row>
    <row r="872" spans="1:1">
      <c r="A872" s="19" t="s">
        <v>424</v>
      </c>
    </row>
    <row r="874" spans="1:1">
      <c r="A874" s="22" t="s">
        <v>407</v>
      </c>
    </row>
    <row r="876" spans="1:1">
      <c r="A876" s="22">
        <v>2</v>
      </c>
    </row>
    <row r="878" spans="1:1">
      <c r="A878" s="22" t="s">
        <v>522</v>
      </c>
    </row>
    <row r="880" spans="1:1">
      <c r="A880" s="22" t="s">
        <v>523</v>
      </c>
    </row>
    <row r="882" spans="1:1">
      <c r="A882" s="19" t="s">
        <v>423</v>
      </c>
    </row>
    <row r="884" spans="1:1">
      <c r="A884" s="19" t="s">
        <v>424</v>
      </c>
    </row>
    <row r="886" spans="1:1">
      <c r="A886" s="22" t="s">
        <v>407</v>
      </c>
    </row>
    <row r="888" spans="1:1">
      <c r="A888" s="22">
        <v>2</v>
      </c>
    </row>
    <row r="890" spans="1:1">
      <c r="A890" s="22" t="s">
        <v>524</v>
      </c>
    </row>
    <row r="892" spans="1:1">
      <c r="A892" s="22" t="s">
        <v>441</v>
      </c>
    </row>
    <row r="894" spans="1:1">
      <c r="A894" s="19" t="s">
        <v>423</v>
      </c>
    </row>
    <row r="896" spans="1:1">
      <c r="A896" s="19" t="s">
        <v>424</v>
      </c>
    </row>
    <row r="898" spans="1:1">
      <c r="A898" s="22" t="s">
        <v>407</v>
      </c>
    </row>
    <row r="900" spans="1:1">
      <c r="A900" s="22">
        <v>2</v>
      </c>
    </row>
    <row r="902" spans="1:1">
      <c r="A902" s="22" t="s">
        <v>525</v>
      </c>
    </row>
    <row r="904" spans="1:1">
      <c r="A904" s="22" t="s">
        <v>526</v>
      </c>
    </row>
    <row r="906" spans="1:1">
      <c r="A906" s="19" t="s">
        <v>423</v>
      </c>
    </row>
    <row r="908" spans="1:1">
      <c r="A908" s="19" t="s">
        <v>424</v>
      </c>
    </row>
    <row r="910" spans="1:1">
      <c r="A910" s="22" t="s">
        <v>407</v>
      </c>
    </row>
    <row r="912" spans="1:1">
      <c r="A912" s="22">
        <v>2</v>
      </c>
    </row>
    <row r="914" spans="1:1">
      <c r="A914" s="22" t="s">
        <v>527</v>
      </c>
    </row>
    <row r="916" spans="1:1">
      <c r="A916" s="22" t="s">
        <v>528</v>
      </c>
    </row>
    <row r="918" spans="1:1">
      <c r="A918" s="19" t="s">
        <v>423</v>
      </c>
    </row>
    <row r="920" spans="1:1">
      <c r="A920" s="19" t="s">
        <v>424</v>
      </c>
    </row>
    <row r="922" spans="1:1">
      <c r="A922" s="22" t="s">
        <v>407</v>
      </c>
    </row>
    <row r="924" spans="1:1">
      <c r="A924" s="22">
        <v>2</v>
      </c>
    </row>
    <row r="926" spans="1:1">
      <c r="A926" s="22" t="s">
        <v>529</v>
      </c>
    </row>
    <row r="928" spans="1:1">
      <c r="A928" s="22" t="s">
        <v>464</v>
      </c>
    </row>
    <row r="930" spans="1:1">
      <c r="A930" s="19" t="s">
        <v>423</v>
      </c>
    </row>
    <row r="932" spans="1:1">
      <c r="A932" s="19" t="s">
        <v>424</v>
      </c>
    </row>
    <row r="934" spans="1:1">
      <c r="A934" s="22" t="s">
        <v>407</v>
      </c>
    </row>
    <row r="936" spans="1:1">
      <c r="A936" s="22">
        <v>2</v>
      </c>
    </row>
    <row r="938" spans="1:1">
      <c r="A938" s="19" t="s">
        <v>530</v>
      </c>
    </row>
    <row r="940" spans="1:1">
      <c r="A940" s="22" t="s">
        <v>133</v>
      </c>
    </row>
    <row r="941" spans="1:1">
      <c r="A941" s="22" t="s">
        <v>131</v>
      </c>
    </row>
    <row r="942" spans="1:1">
      <c r="A942" s="22" t="s">
        <v>389</v>
      </c>
    </row>
    <row r="944" spans="1:1">
      <c r="A944" s="19" t="s">
        <v>400</v>
      </c>
    </row>
    <row r="946" spans="1:1">
      <c r="A946" s="19" t="s">
        <v>402</v>
      </c>
    </row>
    <row r="948" spans="1:1">
      <c r="A948" s="22" t="s">
        <v>420</v>
      </c>
    </row>
    <row r="950" spans="1:1">
      <c r="A950" s="22" t="s">
        <v>531</v>
      </c>
    </row>
    <row r="952" spans="1:1">
      <c r="A952" s="22" t="s">
        <v>532</v>
      </c>
    </row>
    <row r="954" spans="1:1">
      <c r="A954" s="19" t="s">
        <v>406</v>
      </c>
    </row>
    <row r="956" spans="1:1">
      <c r="A956" s="22" t="s">
        <v>407</v>
      </c>
    </row>
    <row r="958" spans="1:1">
      <c r="A958" s="22">
        <v>2</v>
      </c>
    </row>
    <row r="960" spans="1:1">
      <c r="A960" s="22" t="s">
        <v>533</v>
      </c>
    </row>
    <row r="962" spans="1:1">
      <c r="A962" s="22" t="s">
        <v>534</v>
      </c>
    </row>
    <row r="964" spans="1:1">
      <c r="A964" s="19" t="s">
        <v>423</v>
      </c>
    </row>
    <row r="966" spans="1:1">
      <c r="A966" s="19" t="s">
        <v>424</v>
      </c>
    </row>
    <row r="968" spans="1:1">
      <c r="A968" s="22" t="s">
        <v>407</v>
      </c>
    </row>
    <row r="970" spans="1:1">
      <c r="A970" s="22">
        <v>2</v>
      </c>
    </row>
    <row r="972" spans="1:1">
      <c r="A972" s="22" t="s">
        <v>535</v>
      </c>
    </row>
    <row r="974" spans="1:1">
      <c r="A974" s="22" t="s">
        <v>532</v>
      </c>
    </row>
    <row r="976" spans="1:1">
      <c r="A976" s="19" t="s">
        <v>423</v>
      </c>
    </row>
    <row r="978" spans="1:1">
      <c r="A978" s="19" t="s">
        <v>424</v>
      </c>
    </row>
    <row r="980" spans="1:1">
      <c r="A980" s="22" t="s">
        <v>407</v>
      </c>
    </row>
    <row r="982" spans="1:1">
      <c r="A982" s="22">
        <v>2</v>
      </c>
    </row>
    <row r="984" spans="1:1">
      <c r="A984" s="22" t="s">
        <v>536</v>
      </c>
    </row>
    <row r="986" spans="1:1">
      <c r="A986" s="22" t="s">
        <v>523</v>
      </c>
    </row>
    <row r="988" spans="1:1">
      <c r="A988" s="19" t="s">
        <v>423</v>
      </c>
    </row>
    <row r="990" spans="1:1">
      <c r="A990" s="19" t="s">
        <v>424</v>
      </c>
    </row>
    <row r="992" spans="1:1">
      <c r="A992" s="22" t="s">
        <v>407</v>
      </c>
    </row>
    <row r="994" spans="1:1">
      <c r="A994" s="22">
        <v>2</v>
      </c>
    </row>
    <row r="996" spans="1:1">
      <c r="A996" s="22" t="s">
        <v>537</v>
      </c>
    </row>
    <row r="998" spans="1:1">
      <c r="A998" s="22" t="s">
        <v>538</v>
      </c>
    </row>
    <row r="1000" spans="1:1">
      <c r="A1000" s="19" t="s">
        <v>423</v>
      </c>
    </row>
    <row r="1002" spans="1:1">
      <c r="A1002" s="19" t="s">
        <v>424</v>
      </c>
    </row>
    <row r="1004" spans="1:1">
      <c r="A1004" s="22" t="s">
        <v>407</v>
      </c>
    </row>
    <row r="1006" spans="1:1">
      <c r="A1006" s="22">
        <v>2</v>
      </c>
    </row>
    <row r="1008" spans="1:1">
      <c r="A1008" s="22" t="s">
        <v>539</v>
      </c>
    </row>
    <row r="1010" spans="1:1">
      <c r="A1010" s="22" t="s">
        <v>540</v>
      </c>
    </row>
    <row r="1012" spans="1:1">
      <c r="A1012" s="19" t="s">
        <v>423</v>
      </c>
    </row>
    <row r="1014" spans="1:1">
      <c r="A1014" s="19" t="s">
        <v>424</v>
      </c>
    </row>
    <row r="1016" spans="1:1">
      <c r="A1016" s="22" t="s">
        <v>407</v>
      </c>
    </row>
    <row r="1018" spans="1:1">
      <c r="A1018" s="22">
        <v>3</v>
      </c>
    </row>
    <row r="1020" spans="1:1">
      <c r="A1020" s="22" t="s">
        <v>541</v>
      </c>
    </row>
    <row r="1022" spans="1:1">
      <c r="A1022" s="22" t="s">
        <v>542</v>
      </c>
    </row>
    <row r="1024" spans="1:1">
      <c r="A1024" s="19" t="s">
        <v>423</v>
      </c>
    </row>
    <row r="1026" spans="1:1">
      <c r="A1026" s="19" t="s">
        <v>424</v>
      </c>
    </row>
    <row r="1028" spans="1:1">
      <c r="A1028" s="22" t="s">
        <v>407</v>
      </c>
    </row>
    <row r="1030" spans="1:1">
      <c r="A1030" s="22">
        <v>3</v>
      </c>
    </row>
    <row r="1032" spans="1:1">
      <c r="A1032" s="22" t="s">
        <v>543</v>
      </c>
    </row>
    <row r="1034" spans="1:1">
      <c r="A1034" s="22" t="s">
        <v>544</v>
      </c>
    </row>
    <row r="1036" spans="1:1">
      <c r="A1036" s="19" t="s">
        <v>423</v>
      </c>
    </row>
    <row r="1038" spans="1:1">
      <c r="A1038" s="19" t="s">
        <v>424</v>
      </c>
    </row>
    <row r="1040" spans="1:1">
      <c r="A1040" s="22" t="s">
        <v>407</v>
      </c>
    </row>
    <row r="1042" spans="1:1">
      <c r="A1042" s="22">
        <v>3</v>
      </c>
    </row>
    <row r="1044" spans="1:1">
      <c r="A1044" s="19" t="s">
        <v>545</v>
      </c>
    </row>
    <row r="1046" spans="1:1">
      <c r="A1046" s="22" t="s">
        <v>133</v>
      </c>
    </row>
    <row r="1047" spans="1:1">
      <c r="A1047" s="22" t="s">
        <v>131</v>
      </c>
    </row>
    <row r="1048" spans="1:1">
      <c r="A1048" s="22" t="s">
        <v>389</v>
      </c>
    </row>
    <row r="1050" spans="1:1">
      <c r="A1050" s="19" t="s">
        <v>400</v>
      </c>
    </row>
    <row r="1052" spans="1:1">
      <c r="A1052" s="19" t="s">
        <v>402</v>
      </c>
    </row>
    <row r="1054" spans="1:1">
      <c r="A1054" s="22" t="s">
        <v>420</v>
      </c>
    </row>
    <row r="1056" spans="1:1">
      <c r="A1056" s="22" t="s">
        <v>546</v>
      </c>
    </row>
    <row r="1058" spans="1:1">
      <c r="A1058" s="22" t="s">
        <v>523</v>
      </c>
    </row>
    <row r="1060" spans="1:1">
      <c r="A1060" s="19" t="s">
        <v>406</v>
      </c>
    </row>
    <row r="1062" spans="1:1">
      <c r="A1062" s="22" t="s">
        <v>407</v>
      </c>
    </row>
    <row r="1064" spans="1:1">
      <c r="A1064" s="22">
        <v>2</v>
      </c>
    </row>
    <row r="1066" spans="1:1">
      <c r="A1066" s="22" t="s">
        <v>547</v>
      </c>
    </row>
    <row r="1068" spans="1:1">
      <c r="A1068" s="22" t="s">
        <v>548</v>
      </c>
    </row>
    <row r="1070" spans="1:1">
      <c r="A1070" s="19" t="s">
        <v>423</v>
      </c>
    </row>
    <row r="1072" spans="1:1">
      <c r="A1072" s="19" t="s">
        <v>424</v>
      </c>
    </row>
    <row r="1074" spans="1:1">
      <c r="A1074" s="22" t="s">
        <v>407</v>
      </c>
    </row>
    <row r="1076" spans="1:1">
      <c r="A1076" s="22">
        <v>2</v>
      </c>
    </row>
    <row r="1078" spans="1:1">
      <c r="A1078" s="22" t="s">
        <v>549</v>
      </c>
    </row>
    <row r="1080" spans="1:1">
      <c r="A1080" s="22" t="s">
        <v>550</v>
      </c>
    </row>
    <row r="1082" spans="1:1">
      <c r="A1082" s="19" t="s">
        <v>423</v>
      </c>
    </row>
    <row r="1084" spans="1:1">
      <c r="A1084" s="19" t="s">
        <v>424</v>
      </c>
    </row>
    <row r="1086" spans="1:1">
      <c r="A1086" s="22" t="s">
        <v>407</v>
      </c>
    </row>
    <row r="1088" spans="1:1">
      <c r="A1088" s="22">
        <v>2</v>
      </c>
    </row>
    <row r="1090" spans="1:1">
      <c r="A1090" s="22" t="s">
        <v>551</v>
      </c>
    </row>
    <row r="1092" spans="1:1">
      <c r="A1092" s="22" t="s">
        <v>552</v>
      </c>
    </row>
    <row r="1094" spans="1:1">
      <c r="A1094" s="19" t="s">
        <v>423</v>
      </c>
    </row>
    <row r="1096" spans="1:1">
      <c r="A1096" s="19" t="s">
        <v>424</v>
      </c>
    </row>
    <row r="1098" spans="1:1">
      <c r="A1098" s="22" t="s">
        <v>407</v>
      </c>
    </row>
    <row r="1100" spans="1:1">
      <c r="A1100" s="22">
        <v>2</v>
      </c>
    </row>
    <row r="1102" spans="1:1">
      <c r="A1102" s="22" t="s">
        <v>553</v>
      </c>
    </row>
    <row r="1104" spans="1:1">
      <c r="A1104" s="22" t="s">
        <v>552</v>
      </c>
    </row>
    <row r="1106" spans="1:1">
      <c r="A1106" s="19" t="s">
        <v>423</v>
      </c>
    </row>
    <row r="1108" spans="1:1">
      <c r="A1108" s="19" t="s">
        <v>424</v>
      </c>
    </row>
    <row r="1110" spans="1:1">
      <c r="A1110" s="22" t="s">
        <v>407</v>
      </c>
    </row>
    <row r="1112" spans="1:1">
      <c r="A1112" s="22">
        <v>2</v>
      </c>
    </row>
    <row r="1114" spans="1:1">
      <c r="A1114" s="22" t="s">
        <v>554</v>
      </c>
    </row>
    <row r="1116" spans="1:1">
      <c r="A1116" s="22" t="s">
        <v>405</v>
      </c>
    </row>
    <row r="1118" spans="1:1">
      <c r="A1118" s="19" t="s">
        <v>423</v>
      </c>
    </row>
    <row r="1120" spans="1:1">
      <c r="A1120" s="19" t="s">
        <v>424</v>
      </c>
    </row>
    <row r="1122" spans="1:1">
      <c r="A1122" s="22" t="s">
        <v>407</v>
      </c>
    </row>
    <row r="1124" spans="1:1">
      <c r="A1124" s="22">
        <v>2</v>
      </c>
    </row>
    <row r="1126" spans="1:1">
      <c r="A1126" s="22" t="s">
        <v>555</v>
      </c>
    </row>
    <row r="1128" spans="1:1">
      <c r="A1128" s="22" t="s">
        <v>517</v>
      </c>
    </row>
    <row r="1130" spans="1:1">
      <c r="A1130" s="19" t="s">
        <v>423</v>
      </c>
    </row>
    <row r="1132" spans="1:1">
      <c r="A1132" s="19" t="s">
        <v>424</v>
      </c>
    </row>
    <row r="1134" spans="1:1">
      <c r="A1134" s="22" t="s">
        <v>407</v>
      </c>
    </row>
    <row r="1136" spans="1:1">
      <c r="A1136" s="22">
        <v>2</v>
      </c>
    </row>
    <row r="1138" spans="1:1">
      <c r="A1138" s="22" t="s">
        <v>556</v>
      </c>
    </row>
    <row r="1140" spans="1:1">
      <c r="A1140" s="22" t="s">
        <v>557</v>
      </c>
    </row>
    <row r="1142" spans="1:1">
      <c r="A1142" s="19" t="s">
        <v>423</v>
      </c>
    </row>
    <row r="1144" spans="1:1">
      <c r="A1144" s="19" t="s">
        <v>424</v>
      </c>
    </row>
    <row r="1146" spans="1:1">
      <c r="A1146" s="22" t="s">
        <v>407</v>
      </c>
    </row>
    <row r="1148" spans="1:1">
      <c r="A1148" s="22">
        <v>2</v>
      </c>
    </row>
    <row r="1150" spans="1:1">
      <c r="A1150" s="19" t="s">
        <v>558</v>
      </c>
    </row>
    <row r="1152" spans="1:1">
      <c r="A1152" s="22" t="s">
        <v>133</v>
      </c>
    </row>
    <row r="1153" spans="1:1">
      <c r="A1153" s="22" t="s">
        <v>131</v>
      </c>
    </row>
    <row r="1154" spans="1:1">
      <c r="A1154" s="22" t="s">
        <v>389</v>
      </c>
    </row>
    <row r="1156" spans="1:1">
      <c r="A1156" s="19" t="s">
        <v>400</v>
      </c>
    </row>
    <row r="1158" spans="1:1">
      <c r="A1158" s="19" t="s">
        <v>402</v>
      </c>
    </row>
    <row r="1160" spans="1:1">
      <c r="A1160" s="22" t="s">
        <v>420</v>
      </c>
    </row>
    <row r="1162" spans="1:1">
      <c r="A1162" s="22" t="s">
        <v>559</v>
      </c>
    </row>
    <row r="1164" spans="1:1">
      <c r="A1164" s="22" t="s">
        <v>560</v>
      </c>
    </row>
    <row r="1166" spans="1:1">
      <c r="A1166" s="19" t="s">
        <v>406</v>
      </c>
    </row>
    <row r="1168" spans="1:1">
      <c r="A1168" s="22" t="s">
        <v>407</v>
      </c>
    </row>
    <row r="1170" spans="1:1">
      <c r="A1170" s="22">
        <v>2</v>
      </c>
    </row>
    <row r="1172" spans="1:1">
      <c r="A1172" s="22" t="s">
        <v>561</v>
      </c>
    </row>
    <row r="1174" spans="1:1">
      <c r="A1174" s="22" t="s">
        <v>507</v>
      </c>
    </row>
    <row r="1176" spans="1:1">
      <c r="A1176" s="19" t="s">
        <v>423</v>
      </c>
    </row>
    <row r="1178" spans="1:1">
      <c r="A1178" s="19" t="s">
        <v>424</v>
      </c>
    </row>
    <row r="1180" spans="1:1">
      <c r="A1180" s="22" t="s">
        <v>407</v>
      </c>
    </row>
    <row r="1182" spans="1:1">
      <c r="A1182" s="22">
        <v>3</v>
      </c>
    </row>
    <row r="1184" spans="1:1">
      <c r="A1184" s="22" t="s">
        <v>562</v>
      </c>
    </row>
    <row r="1186" spans="1:1">
      <c r="A1186" s="22" t="s">
        <v>507</v>
      </c>
    </row>
    <row r="1188" spans="1:1">
      <c r="A1188" s="19" t="s">
        <v>423</v>
      </c>
    </row>
    <row r="1190" spans="1:1">
      <c r="A1190" s="19" t="s">
        <v>424</v>
      </c>
    </row>
    <row r="1192" spans="1:1">
      <c r="A1192" s="22" t="s">
        <v>407</v>
      </c>
    </row>
    <row r="1194" spans="1:1">
      <c r="A1194" s="22">
        <v>3</v>
      </c>
    </row>
    <row r="1196" spans="1:1">
      <c r="A1196" s="22" t="s">
        <v>563</v>
      </c>
    </row>
    <row r="1198" spans="1:1">
      <c r="A1198" s="22" t="s">
        <v>564</v>
      </c>
    </row>
    <row r="1200" spans="1:1">
      <c r="A1200" s="19" t="s">
        <v>423</v>
      </c>
    </row>
    <row r="1202" spans="1:1">
      <c r="A1202" s="19" t="s">
        <v>424</v>
      </c>
    </row>
    <row r="1204" spans="1:1">
      <c r="A1204" s="22" t="s">
        <v>407</v>
      </c>
    </row>
    <row r="1206" spans="1:1">
      <c r="A1206" s="22">
        <v>6</v>
      </c>
    </row>
    <row r="1208" spans="1:1">
      <c r="A1208" s="22" t="s">
        <v>565</v>
      </c>
    </row>
    <row r="1210" spans="1:1">
      <c r="A1210" s="22" t="s">
        <v>428</v>
      </c>
    </row>
    <row r="1212" spans="1:1">
      <c r="A1212" s="19" t="s">
        <v>423</v>
      </c>
    </row>
    <row r="1214" spans="1:1">
      <c r="A1214" s="19" t="s">
        <v>424</v>
      </c>
    </row>
    <row r="1216" spans="1:1">
      <c r="A1216" s="22" t="s">
        <v>407</v>
      </c>
    </row>
    <row r="1218" spans="1:1">
      <c r="A1218" s="22">
        <v>1</v>
      </c>
    </row>
    <row r="1220" spans="1:1">
      <c r="A1220" s="22" t="s">
        <v>566</v>
      </c>
    </row>
    <row r="1222" spans="1:1">
      <c r="A1222" s="22" t="s">
        <v>428</v>
      </c>
    </row>
    <row r="1224" spans="1:1">
      <c r="A1224" s="19" t="s">
        <v>423</v>
      </c>
    </row>
    <row r="1226" spans="1:1">
      <c r="A1226" s="19" t="s">
        <v>424</v>
      </c>
    </row>
    <row r="1228" spans="1:1">
      <c r="A1228" s="22" t="s">
        <v>407</v>
      </c>
    </row>
    <row r="1230" spans="1:1">
      <c r="A1230" s="22">
        <v>1</v>
      </c>
    </row>
    <row r="1232" spans="1:1">
      <c r="A1232" s="22" t="s">
        <v>567</v>
      </c>
    </row>
    <row r="1234" spans="1:1">
      <c r="A1234" s="22" t="s">
        <v>438</v>
      </c>
    </row>
    <row r="1236" spans="1:1">
      <c r="A1236" s="19" t="s">
        <v>423</v>
      </c>
    </row>
    <row r="1238" spans="1:1">
      <c r="A1238" s="19" t="s">
        <v>424</v>
      </c>
    </row>
    <row r="1240" spans="1:1">
      <c r="A1240" s="22" t="s">
        <v>407</v>
      </c>
    </row>
    <row r="1242" spans="1:1">
      <c r="A1242" s="22">
        <v>2</v>
      </c>
    </row>
    <row r="1244" spans="1:1">
      <c r="A1244" s="22" t="s">
        <v>568</v>
      </c>
    </row>
    <row r="1246" spans="1:1">
      <c r="A1246" s="22" t="s">
        <v>569</v>
      </c>
    </row>
    <row r="1248" spans="1:1">
      <c r="A1248" s="19" t="s">
        <v>423</v>
      </c>
    </row>
    <row r="1250" spans="1:1">
      <c r="A1250" s="19" t="s">
        <v>424</v>
      </c>
    </row>
    <row r="1252" spans="1:1">
      <c r="A1252" s="22" t="s">
        <v>407</v>
      </c>
    </row>
    <row r="1254" spans="1:1">
      <c r="A1254" s="22">
        <v>2</v>
      </c>
    </row>
    <row r="1256" spans="1:1">
      <c r="A1256" s="19" t="s">
        <v>570</v>
      </c>
    </row>
    <row r="1258" spans="1:1">
      <c r="A1258" s="22" t="s">
        <v>133</v>
      </c>
    </row>
    <row r="1259" spans="1:1">
      <c r="A1259" s="22" t="s">
        <v>131</v>
      </c>
    </row>
    <row r="1260" spans="1:1">
      <c r="A1260" s="22" t="s">
        <v>389</v>
      </c>
    </row>
    <row r="1262" spans="1:1">
      <c r="A1262" s="19" t="s">
        <v>400</v>
      </c>
    </row>
    <row r="1264" spans="1:1">
      <c r="A1264" s="19" t="s">
        <v>402</v>
      </c>
    </row>
    <row r="1266" spans="1:1">
      <c r="A1266" s="22" t="s">
        <v>420</v>
      </c>
    </row>
    <row r="1268" spans="1:1">
      <c r="A1268" s="22" t="s">
        <v>571</v>
      </c>
    </row>
    <row r="1270" spans="1:1">
      <c r="A1270" s="22" t="s">
        <v>430</v>
      </c>
    </row>
    <row r="1272" spans="1:1">
      <c r="A1272" s="19" t="s">
        <v>406</v>
      </c>
    </row>
    <row r="1274" spans="1:1">
      <c r="A1274" s="22" t="s">
        <v>407</v>
      </c>
    </row>
    <row r="1276" spans="1:1">
      <c r="A1276" s="22">
        <v>2</v>
      </c>
    </row>
    <row r="1278" spans="1:1">
      <c r="A1278" s="22" t="s">
        <v>572</v>
      </c>
    </row>
    <row r="1280" spans="1:1">
      <c r="A1280" s="22" t="s">
        <v>422</v>
      </c>
    </row>
    <row r="1282" spans="1:1">
      <c r="A1282" s="19" t="s">
        <v>423</v>
      </c>
    </row>
    <row r="1284" spans="1:1">
      <c r="A1284" s="19" t="s">
        <v>424</v>
      </c>
    </row>
    <row r="1286" spans="1:1">
      <c r="A1286" s="22" t="s">
        <v>407</v>
      </c>
    </row>
    <row r="1288" spans="1:1">
      <c r="A1288" s="22">
        <v>2</v>
      </c>
    </row>
    <row r="1290" spans="1:1">
      <c r="A1290" s="22" t="s">
        <v>573</v>
      </c>
    </row>
    <row r="1292" spans="1:1">
      <c r="A1292" s="22" t="s">
        <v>432</v>
      </c>
    </row>
    <row r="1294" spans="1:1">
      <c r="A1294" s="19" t="s">
        <v>423</v>
      </c>
    </row>
    <row r="1296" spans="1:1">
      <c r="A1296" s="19" t="s">
        <v>424</v>
      </c>
    </row>
    <row r="1298" spans="1:1">
      <c r="A1298" s="22" t="s">
        <v>407</v>
      </c>
    </row>
    <row r="1300" spans="1:1">
      <c r="A1300" s="22">
        <v>1</v>
      </c>
    </row>
    <row r="1302" spans="1:1">
      <c r="A1302" s="22" t="s">
        <v>574</v>
      </c>
    </row>
    <row r="1304" spans="1:1">
      <c r="A1304" s="22" t="s">
        <v>430</v>
      </c>
    </row>
    <row r="1306" spans="1:1">
      <c r="A1306" s="19" t="s">
        <v>423</v>
      </c>
    </row>
    <row r="1308" spans="1:1">
      <c r="A1308" s="19" t="s">
        <v>424</v>
      </c>
    </row>
    <row r="1310" spans="1:1">
      <c r="A1310" s="22" t="s">
        <v>407</v>
      </c>
    </row>
    <row r="1312" spans="1:1">
      <c r="A1312" s="22">
        <v>1</v>
      </c>
    </row>
    <row r="1314" spans="1:1">
      <c r="A1314" s="22" t="s">
        <v>575</v>
      </c>
    </row>
    <row r="1316" spans="1:1">
      <c r="A1316" s="22" t="s">
        <v>422</v>
      </c>
    </row>
    <row r="1318" spans="1:1">
      <c r="A1318" s="19" t="s">
        <v>423</v>
      </c>
    </row>
    <row r="1320" spans="1:1">
      <c r="A1320" s="19" t="s">
        <v>424</v>
      </c>
    </row>
    <row r="1322" spans="1:1">
      <c r="A1322" s="22" t="s">
        <v>407</v>
      </c>
    </row>
    <row r="1324" spans="1:1">
      <c r="A1324" s="22">
        <v>1</v>
      </c>
    </row>
    <row r="1326" spans="1:1">
      <c r="A1326" s="22" t="s">
        <v>576</v>
      </c>
    </row>
    <row r="1328" spans="1:1">
      <c r="A1328" s="22" t="s">
        <v>438</v>
      </c>
    </row>
    <row r="1330" spans="1:1">
      <c r="A1330" s="19" t="s">
        <v>423</v>
      </c>
    </row>
    <row r="1332" spans="1:1">
      <c r="A1332" s="19" t="s">
        <v>424</v>
      </c>
    </row>
    <row r="1334" spans="1:1">
      <c r="A1334" s="22" t="s">
        <v>407</v>
      </c>
    </row>
    <row r="1336" spans="1:1">
      <c r="A1336" s="22">
        <v>2</v>
      </c>
    </row>
    <row r="1338" spans="1:1">
      <c r="A1338" s="22" t="s">
        <v>577</v>
      </c>
    </row>
    <row r="1340" spans="1:1">
      <c r="A1340" s="22" t="s">
        <v>441</v>
      </c>
    </row>
    <row r="1342" spans="1:1">
      <c r="A1342" s="19" t="s">
        <v>423</v>
      </c>
    </row>
    <row r="1344" spans="1:1">
      <c r="A1344" s="19" t="s">
        <v>424</v>
      </c>
    </row>
    <row r="1346" spans="1:1">
      <c r="A1346" s="22" t="s">
        <v>407</v>
      </c>
    </row>
    <row r="1348" spans="1:1">
      <c r="A1348" s="22">
        <v>2</v>
      </c>
    </row>
    <row r="1350" spans="1:1">
      <c r="A1350" s="22" t="s">
        <v>578</v>
      </c>
    </row>
    <row r="1352" spans="1:1">
      <c r="A1352" s="22" t="s">
        <v>428</v>
      </c>
    </row>
    <row r="1354" spans="1:1">
      <c r="A1354" s="19" t="s">
        <v>423</v>
      </c>
    </row>
    <row r="1356" spans="1:1">
      <c r="A1356" s="19" t="s">
        <v>424</v>
      </c>
    </row>
    <row r="1358" spans="1:1">
      <c r="A1358" s="22" t="s">
        <v>407</v>
      </c>
    </row>
    <row r="1360" spans="1:1">
      <c r="A1360" s="22">
        <v>2</v>
      </c>
    </row>
    <row r="1362" spans="1:1">
      <c r="A1362" s="19" t="s">
        <v>579</v>
      </c>
    </row>
    <row r="1364" spans="1:1">
      <c r="A1364" s="22" t="s">
        <v>133</v>
      </c>
    </row>
    <row r="1365" spans="1:1">
      <c r="A1365" s="22" t="s">
        <v>131</v>
      </c>
    </row>
    <row r="1366" spans="1:1">
      <c r="A1366" s="22" t="s">
        <v>389</v>
      </c>
    </row>
    <row r="1368" spans="1:1">
      <c r="A1368" s="19" t="s">
        <v>400</v>
      </c>
    </row>
    <row r="1370" spans="1:1">
      <c r="A1370" s="19" t="s">
        <v>402</v>
      </c>
    </row>
    <row r="1372" spans="1:1">
      <c r="A1372" s="22" t="s">
        <v>420</v>
      </c>
    </row>
    <row r="1374" spans="1:1">
      <c r="A1374" s="22" t="s">
        <v>580</v>
      </c>
    </row>
    <row r="1376" spans="1:1">
      <c r="A1376" s="22" t="s">
        <v>444</v>
      </c>
    </row>
    <row r="1378" spans="1:1">
      <c r="A1378" s="19" t="s">
        <v>406</v>
      </c>
    </row>
    <row r="1380" spans="1:1">
      <c r="A1380" s="22" t="s">
        <v>407</v>
      </c>
    </row>
    <row r="1382" spans="1:1">
      <c r="A1382" s="22">
        <v>6</v>
      </c>
    </row>
    <row r="1384" spans="1:1">
      <c r="A1384" s="22" t="s">
        <v>581</v>
      </c>
    </row>
    <row r="1386" spans="1:1">
      <c r="A1386" s="22" t="s">
        <v>582</v>
      </c>
    </row>
    <row r="1388" spans="1:1">
      <c r="A1388" s="19" t="s">
        <v>423</v>
      </c>
    </row>
    <row r="1390" spans="1:1">
      <c r="A1390" s="19" t="s">
        <v>424</v>
      </c>
    </row>
    <row r="1392" spans="1:1">
      <c r="A1392" s="22" t="s">
        <v>407</v>
      </c>
    </row>
    <row r="1394" spans="1:1">
      <c r="A1394" s="22">
        <v>2</v>
      </c>
    </row>
    <row r="1396" spans="1:1">
      <c r="A1396" s="22" t="s">
        <v>583</v>
      </c>
    </row>
    <row r="1398" spans="1:1">
      <c r="A1398" s="22" t="s">
        <v>584</v>
      </c>
    </row>
    <row r="1400" spans="1:1">
      <c r="A1400" s="19" t="s">
        <v>423</v>
      </c>
    </row>
    <row r="1402" spans="1:1">
      <c r="A1402" s="19" t="s">
        <v>424</v>
      </c>
    </row>
    <row r="1404" spans="1:1">
      <c r="A1404" s="22" t="s">
        <v>407</v>
      </c>
    </row>
    <row r="1406" spans="1:1">
      <c r="A1406" s="22">
        <v>2</v>
      </c>
    </row>
    <row r="1408" spans="1:1">
      <c r="A1408" s="22" t="s">
        <v>585</v>
      </c>
    </row>
    <row r="1410" spans="1:1">
      <c r="A1410" s="22" t="s">
        <v>428</v>
      </c>
    </row>
    <row r="1412" spans="1:1">
      <c r="A1412" s="19" t="s">
        <v>423</v>
      </c>
    </row>
    <row r="1414" spans="1:1">
      <c r="A1414" s="19" t="s">
        <v>424</v>
      </c>
    </row>
    <row r="1416" spans="1:1">
      <c r="A1416" s="22" t="s">
        <v>407</v>
      </c>
    </row>
    <row r="1418" spans="1:1">
      <c r="A1418" s="22">
        <v>2</v>
      </c>
    </row>
    <row r="1420" spans="1:1">
      <c r="A1420" s="22" t="s">
        <v>586</v>
      </c>
    </row>
    <row r="1422" spans="1:1">
      <c r="A1422" s="22" t="s">
        <v>587</v>
      </c>
    </row>
    <row r="1424" spans="1:1">
      <c r="A1424" s="19" t="s">
        <v>423</v>
      </c>
    </row>
    <row r="1426" spans="1:1">
      <c r="A1426" s="19" t="s">
        <v>424</v>
      </c>
    </row>
    <row r="1428" spans="1:1">
      <c r="A1428" s="22" t="s">
        <v>407</v>
      </c>
    </row>
    <row r="1430" spans="1:1">
      <c r="A1430" s="22">
        <v>2</v>
      </c>
    </row>
    <row r="1432" spans="1:1">
      <c r="A1432" s="22" t="s">
        <v>588</v>
      </c>
    </row>
    <row r="1434" spans="1:1">
      <c r="A1434" s="22" t="s">
        <v>589</v>
      </c>
    </row>
    <row r="1436" spans="1:1">
      <c r="A1436" s="19" t="s">
        <v>423</v>
      </c>
    </row>
    <row r="1438" spans="1:1">
      <c r="A1438" s="19" t="s">
        <v>424</v>
      </c>
    </row>
    <row r="1440" spans="1:1">
      <c r="A1440" s="22" t="s">
        <v>407</v>
      </c>
    </row>
    <row r="1442" spans="1:1">
      <c r="A1442" s="22">
        <v>2</v>
      </c>
    </row>
    <row r="1444" spans="1:1">
      <c r="A1444" s="22" t="s">
        <v>590</v>
      </c>
    </row>
    <row r="1446" spans="1:1">
      <c r="A1446" s="22" t="s">
        <v>591</v>
      </c>
    </row>
    <row r="1448" spans="1:1">
      <c r="A1448" s="19" t="s">
        <v>423</v>
      </c>
    </row>
    <row r="1450" spans="1:1">
      <c r="A1450" s="19" t="s">
        <v>424</v>
      </c>
    </row>
    <row r="1452" spans="1:1">
      <c r="A1452" s="22" t="s">
        <v>407</v>
      </c>
    </row>
    <row r="1454" spans="1:1">
      <c r="A1454" s="22">
        <v>2</v>
      </c>
    </row>
    <row r="1456" spans="1:1">
      <c r="A1456" s="22" t="s">
        <v>592</v>
      </c>
    </row>
    <row r="1458" spans="1:1">
      <c r="A1458" s="22" t="s">
        <v>446</v>
      </c>
    </row>
    <row r="1460" spans="1:1">
      <c r="A1460" s="19" t="s">
        <v>423</v>
      </c>
    </row>
    <row r="1462" spans="1:1">
      <c r="A1462" s="19" t="s">
        <v>424</v>
      </c>
    </row>
    <row r="1464" spans="1:1">
      <c r="A1464" s="22" t="s">
        <v>407</v>
      </c>
    </row>
    <row r="1466" spans="1:1">
      <c r="A1466" s="22">
        <v>2</v>
      </c>
    </row>
    <row r="1468" spans="1:1">
      <c r="A1468" s="19" t="s">
        <v>593</v>
      </c>
    </row>
    <row r="1470" spans="1:1">
      <c r="A1470" s="22" t="s">
        <v>133</v>
      </c>
    </row>
    <row r="1471" spans="1:1">
      <c r="A1471" s="22" t="s">
        <v>131</v>
      </c>
    </row>
    <row r="1472" spans="1:1">
      <c r="A1472" s="22" t="s">
        <v>389</v>
      </c>
    </row>
    <row r="1474" spans="1:1">
      <c r="A1474" s="19" t="s">
        <v>400</v>
      </c>
    </row>
    <row r="1476" spans="1:1">
      <c r="A1476" s="19" t="s">
        <v>402</v>
      </c>
    </row>
    <row r="1478" spans="1:1">
      <c r="A1478" s="22" t="s">
        <v>420</v>
      </c>
    </row>
    <row r="1480" spans="1:1">
      <c r="A1480" s="22" t="s">
        <v>594</v>
      </c>
    </row>
    <row r="1482" spans="1:1">
      <c r="A1482" s="22" t="s">
        <v>595</v>
      </c>
    </row>
    <row r="1484" spans="1:1">
      <c r="A1484" s="19" t="s">
        <v>406</v>
      </c>
    </row>
    <row r="1486" spans="1:1">
      <c r="A1486" s="22" t="s">
        <v>407</v>
      </c>
    </row>
    <row r="1488" spans="1:1">
      <c r="A1488" s="22">
        <v>2</v>
      </c>
    </row>
    <row r="1490" spans="1:1">
      <c r="A1490" s="22" t="s">
        <v>596</v>
      </c>
    </row>
    <row r="1492" spans="1:1">
      <c r="A1492" s="22" t="s">
        <v>441</v>
      </c>
    </row>
    <row r="1494" spans="1:1">
      <c r="A1494" s="19" t="s">
        <v>423</v>
      </c>
    </row>
    <row r="1496" spans="1:1">
      <c r="A1496" s="19" t="s">
        <v>424</v>
      </c>
    </row>
    <row r="1498" spans="1:1">
      <c r="A1498" s="22" t="s">
        <v>407</v>
      </c>
    </row>
    <row r="1500" spans="1:1">
      <c r="A1500" s="22">
        <v>2</v>
      </c>
    </row>
    <row r="1502" spans="1:1">
      <c r="A1502" s="22" t="s">
        <v>597</v>
      </c>
    </row>
    <row r="1504" spans="1:1">
      <c r="A1504" s="22" t="s">
        <v>441</v>
      </c>
    </row>
    <row r="1506" spans="1:1">
      <c r="A1506" s="19" t="s">
        <v>423</v>
      </c>
    </row>
    <row r="1508" spans="1:1">
      <c r="A1508" s="19" t="s">
        <v>424</v>
      </c>
    </row>
    <row r="1510" spans="1:1">
      <c r="A1510" s="22" t="s">
        <v>407</v>
      </c>
    </row>
    <row r="1512" spans="1:1">
      <c r="A1512" s="22">
        <v>2</v>
      </c>
    </row>
    <row r="1514" spans="1:1">
      <c r="A1514" s="22" t="s">
        <v>598</v>
      </c>
    </row>
    <row r="1516" spans="1:1">
      <c r="A1516" s="22" t="s">
        <v>507</v>
      </c>
    </row>
    <row r="1518" spans="1:1">
      <c r="A1518" s="19" t="s">
        <v>423</v>
      </c>
    </row>
    <row r="1520" spans="1:1">
      <c r="A1520" s="19" t="s">
        <v>424</v>
      </c>
    </row>
    <row r="1522" spans="1:1">
      <c r="A1522" s="22" t="s">
        <v>407</v>
      </c>
    </row>
    <row r="1524" spans="1:1">
      <c r="A1524" s="22">
        <v>4</v>
      </c>
    </row>
    <row r="1526" spans="1:1">
      <c r="A1526" s="22" t="s">
        <v>599</v>
      </c>
    </row>
    <row r="1528" spans="1:1">
      <c r="A1528" s="22" t="s">
        <v>430</v>
      </c>
    </row>
    <row r="1530" spans="1:1">
      <c r="A1530" s="19" t="s">
        <v>423</v>
      </c>
    </row>
    <row r="1532" spans="1:1">
      <c r="A1532" s="19" t="s">
        <v>424</v>
      </c>
    </row>
    <row r="1534" spans="1:1">
      <c r="A1534" s="22" t="s">
        <v>407</v>
      </c>
    </row>
    <row r="1536" spans="1:1">
      <c r="A1536" s="22">
        <v>2</v>
      </c>
    </row>
    <row r="1538" spans="1:1">
      <c r="A1538" s="22" t="s">
        <v>600</v>
      </c>
    </row>
    <row r="1540" spans="1:1">
      <c r="A1540" s="22" t="s">
        <v>601</v>
      </c>
    </row>
    <row r="1542" spans="1:1">
      <c r="A1542" s="19" t="s">
        <v>423</v>
      </c>
    </row>
    <row r="1544" spans="1:1">
      <c r="A1544" s="19" t="s">
        <v>424</v>
      </c>
    </row>
    <row r="1546" spans="1:1">
      <c r="A1546" s="22" t="s">
        <v>407</v>
      </c>
    </row>
    <row r="1548" spans="1:1">
      <c r="A1548" s="22">
        <v>2</v>
      </c>
    </row>
    <row r="1550" spans="1:1">
      <c r="A1550" s="22" t="s">
        <v>602</v>
      </c>
    </row>
    <row r="1552" spans="1:1">
      <c r="A1552" s="22" t="s">
        <v>569</v>
      </c>
    </row>
    <row r="1554" spans="1:1">
      <c r="A1554" s="19" t="s">
        <v>423</v>
      </c>
    </row>
    <row r="1556" spans="1:1">
      <c r="A1556" s="19" t="s">
        <v>424</v>
      </c>
    </row>
    <row r="1558" spans="1:1">
      <c r="A1558" s="22" t="s">
        <v>407</v>
      </c>
    </row>
    <row r="1560" spans="1:1">
      <c r="A1560" s="22">
        <v>2</v>
      </c>
    </row>
    <row r="1562" spans="1:1">
      <c r="A1562" s="22" t="s">
        <v>603</v>
      </c>
    </row>
    <row r="1564" spans="1:1">
      <c r="A1564" s="22" t="s">
        <v>422</v>
      </c>
    </row>
    <row r="1566" spans="1:1">
      <c r="A1566" s="19" t="s">
        <v>423</v>
      </c>
    </row>
    <row r="1568" spans="1:1">
      <c r="A1568" s="19" t="s">
        <v>424</v>
      </c>
    </row>
    <row r="1570" spans="1:1">
      <c r="A1570" s="22" t="s">
        <v>407</v>
      </c>
    </row>
    <row r="1572" spans="1:1">
      <c r="A1572" s="22">
        <v>2</v>
      </c>
    </row>
    <row r="1574" spans="1:1">
      <c r="A1574" s="19" t="s">
        <v>604</v>
      </c>
    </row>
    <row r="1576" spans="1:1">
      <c r="A1576" s="22" t="s">
        <v>133</v>
      </c>
    </row>
    <row r="1577" spans="1:1">
      <c r="A1577" s="22" t="s">
        <v>131</v>
      </c>
    </row>
    <row r="1578" spans="1:1">
      <c r="A1578" s="22" t="s">
        <v>389</v>
      </c>
    </row>
    <row r="1580" spans="1:1">
      <c r="A1580" s="19" t="s">
        <v>400</v>
      </c>
    </row>
    <row r="1582" spans="1:1">
      <c r="A1582" s="19" t="s">
        <v>402</v>
      </c>
    </row>
    <row r="1584" spans="1:1">
      <c r="A1584" s="22" t="s">
        <v>420</v>
      </c>
    </row>
    <row r="1586" spans="1:1">
      <c r="A1586" s="22" t="s">
        <v>605</v>
      </c>
    </row>
    <row r="1588" spans="1:1">
      <c r="A1588" s="22" t="s">
        <v>438</v>
      </c>
    </row>
    <row r="1590" spans="1:1">
      <c r="A1590" s="19" t="s">
        <v>406</v>
      </c>
    </row>
    <row r="1592" spans="1:1">
      <c r="A1592" s="22" t="s">
        <v>407</v>
      </c>
    </row>
    <row r="1594" spans="1:1">
      <c r="A1594" s="22">
        <v>2</v>
      </c>
    </row>
    <row r="1596" spans="1:1">
      <c r="A1596" s="22" t="s">
        <v>606</v>
      </c>
    </row>
    <row r="1598" spans="1:1">
      <c r="A1598" s="22" t="s">
        <v>428</v>
      </c>
    </row>
    <row r="1600" spans="1:1">
      <c r="A1600" s="19" t="s">
        <v>423</v>
      </c>
    </row>
    <row r="1602" spans="1:1">
      <c r="A1602" s="19" t="s">
        <v>424</v>
      </c>
    </row>
    <row r="1604" spans="1:1">
      <c r="A1604" s="22" t="s">
        <v>407</v>
      </c>
    </row>
    <row r="1606" spans="1:1">
      <c r="A1606" s="22">
        <v>2</v>
      </c>
    </row>
    <row r="1608" spans="1:1">
      <c r="A1608" s="22" t="s">
        <v>607</v>
      </c>
    </row>
    <row r="1610" spans="1:1">
      <c r="A1610" s="22" t="s">
        <v>444</v>
      </c>
    </row>
    <row r="1612" spans="1:1">
      <c r="A1612" s="19" t="s">
        <v>423</v>
      </c>
    </row>
    <row r="1614" spans="1:1">
      <c r="A1614" s="19" t="s">
        <v>424</v>
      </c>
    </row>
    <row r="1616" spans="1:1">
      <c r="A1616" s="22" t="s">
        <v>407</v>
      </c>
    </row>
    <row r="1618" spans="1:1">
      <c r="A1618" s="22">
        <v>6</v>
      </c>
    </row>
    <row r="1620" spans="1:1">
      <c r="A1620" s="22" t="s">
        <v>608</v>
      </c>
    </row>
    <row r="1622" spans="1:1">
      <c r="A1622" s="22" t="s">
        <v>609</v>
      </c>
    </row>
    <row r="1624" spans="1:1">
      <c r="A1624" s="19" t="s">
        <v>423</v>
      </c>
    </row>
    <row r="1626" spans="1:1">
      <c r="A1626" s="19" t="s">
        <v>424</v>
      </c>
    </row>
    <row r="1628" spans="1:1">
      <c r="A1628" s="22" t="s">
        <v>407</v>
      </c>
    </row>
    <row r="1630" spans="1:1">
      <c r="A1630" s="22">
        <v>2</v>
      </c>
    </row>
    <row r="1632" spans="1:1">
      <c r="A1632" s="22" t="s">
        <v>610</v>
      </c>
    </row>
    <row r="1634" spans="1:1">
      <c r="A1634" s="22" t="s">
        <v>550</v>
      </c>
    </row>
    <row r="1636" spans="1:1">
      <c r="A1636" s="19" t="s">
        <v>423</v>
      </c>
    </row>
    <row r="1638" spans="1:1">
      <c r="A1638" s="19" t="s">
        <v>424</v>
      </c>
    </row>
    <row r="1640" spans="1:1">
      <c r="A1640" s="22" t="s">
        <v>407</v>
      </c>
    </row>
    <row r="1642" spans="1:1">
      <c r="A1642" s="22">
        <v>2</v>
      </c>
    </row>
    <row r="1644" spans="1:1">
      <c r="A1644" s="22" t="s">
        <v>611</v>
      </c>
    </row>
    <row r="1646" spans="1:1">
      <c r="A1646" s="22" t="s">
        <v>446</v>
      </c>
    </row>
    <row r="1648" spans="1:1">
      <c r="A1648" s="19" t="s">
        <v>423</v>
      </c>
    </row>
    <row r="1650" spans="1:1">
      <c r="A1650" s="19" t="s">
        <v>424</v>
      </c>
    </row>
    <row r="1652" spans="1:1">
      <c r="A1652" s="22" t="s">
        <v>407</v>
      </c>
    </row>
    <row r="1654" spans="1:1">
      <c r="A1654" s="22">
        <v>2</v>
      </c>
    </row>
    <row r="1656" spans="1:1">
      <c r="A1656" s="22" t="s">
        <v>612</v>
      </c>
    </row>
    <row r="1658" spans="1:1">
      <c r="A1658" s="22" t="s">
        <v>460</v>
      </c>
    </row>
    <row r="1660" spans="1:1">
      <c r="A1660" s="19" t="s">
        <v>423</v>
      </c>
    </row>
    <row r="1662" spans="1:1">
      <c r="A1662" s="19" t="s">
        <v>424</v>
      </c>
    </row>
    <row r="1664" spans="1:1">
      <c r="A1664" s="22" t="s">
        <v>407</v>
      </c>
    </row>
    <row r="1666" spans="1:1">
      <c r="A1666" s="22">
        <v>6</v>
      </c>
    </row>
    <row r="1668" spans="1:1">
      <c r="A1668" s="22" t="s">
        <v>613</v>
      </c>
    </row>
    <row r="1670" spans="1:1">
      <c r="A1670" s="22" t="s">
        <v>614</v>
      </c>
    </row>
    <row r="1672" spans="1:1">
      <c r="A1672" s="19" t="s">
        <v>423</v>
      </c>
    </row>
    <row r="1674" spans="1:1">
      <c r="A1674" s="19" t="s">
        <v>424</v>
      </c>
    </row>
    <row r="1676" spans="1:1">
      <c r="A1676" s="22" t="s">
        <v>407</v>
      </c>
    </row>
    <row r="1678" spans="1:1">
      <c r="A1678" s="22">
        <v>4</v>
      </c>
    </row>
    <row r="1680" spans="1:1">
      <c r="A1680" s="19" t="s">
        <v>615</v>
      </c>
    </row>
    <row r="1682" spans="1:1">
      <c r="A1682" s="22" t="s">
        <v>133</v>
      </c>
    </row>
    <row r="1683" spans="1:1">
      <c r="A1683" s="22" t="s">
        <v>131</v>
      </c>
    </row>
    <row r="1684" spans="1:1">
      <c r="A1684" s="22" t="s">
        <v>389</v>
      </c>
    </row>
    <row r="1686" spans="1:1">
      <c r="A1686" s="19" t="s">
        <v>400</v>
      </c>
    </row>
    <row r="1688" spans="1:1">
      <c r="A1688" s="19" t="s">
        <v>402</v>
      </c>
    </row>
    <row r="1690" spans="1:1">
      <c r="A1690" s="22" t="s">
        <v>420</v>
      </c>
    </row>
    <row r="1692" spans="1:1">
      <c r="A1692" s="22" t="s">
        <v>616</v>
      </c>
    </row>
    <row r="1694" spans="1:1">
      <c r="A1694" s="22" t="s">
        <v>617</v>
      </c>
    </row>
    <row r="1696" spans="1:1">
      <c r="A1696" s="19" t="s">
        <v>406</v>
      </c>
    </row>
    <row r="1698" spans="1:1">
      <c r="A1698" s="22" t="s">
        <v>407</v>
      </c>
    </row>
    <row r="1700" spans="1:1">
      <c r="A1700" s="22">
        <v>2</v>
      </c>
    </row>
    <row r="1702" spans="1:1">
      <c r="A1702" s="22" t="s">
        <v>618</v>
      </c>
    </row>
    <row r="1704" spans="1:1">
      <c r="A1704" s="22" t="s">
        <v>557</v>
      </c>
    </row>
    <row r="1706" spans="1:1">
      <c r="A1706" s="19" t="s">
        <v>423</v>
      </c>
    </row>
    <row r="1708" spans="1:1">
      <c r="A1708" s="19" t="s">
        <v>424</v>
      </c>
    </row>
    <row r="1710" spans="1:1">
      <c r="A1710" s="22" t="s">
        <v>407</v>
      </c>
    </row>
    <row r="1712" spans="1:1">
      <c r="A1712" s="22">
        <v>2</v>
      </c>
    </row>
    <row r="1714" spans="1:1">
      <c r="A1714" s="22" t="s">
        <v>619</v>
      </c>
    </row>
    <row r="1716" spans="1:1">
      <c r="A1716" s="22" t="s">
        <v>436</v>
      </c>
    </row>
    <row r="1718" spans="1:1">
      <c r="A1718" s="19" t="s">
        <v>423</v>
      </c>
    </row>
    <row r="1720" spans="1:1">
      <c r="A1720" s="19" t="s">
        <v>424</v>
      </c>
    </row>
    <row r="1722" spans="1:1">
      <c r="A1722" s="22" t="s">
        <v>407</v>
      </c>
    </row>
    <row r="1724" spans="1:1">
      <c r="A1724" s="22">
        <v>2</v>
      </c>
    </row>
    <row r="1726" spans="1:1">
      <c r="A1726" s="22" t="s">
        <v>620</v>
      </c>
    </row>
    <row r="1728" spans="1:1">
      <c r="A1728" s="22" t="s">
        <v>552</v>
      </c>
    </row>
    <row r="1730" spans="1:1">
      <c r="A1730" s="19" t="s">
        <v>423</v>
      </c>
    </row>
    <row r="1732" spans="1:1">
      <c r="A1732" s="19" t="s">
        <v>424</v>
      </c>
    </row>
    <row r="1734" spans="1:1">
      <c r="A1734" s="22" t="s">
        <v>407</v>
      </c>
    </row>
    <row r="1736" spans="1:1">
      <c r="A1736" s="22">
        <v>2</v>
      </c>
    </row>
    <row r="1738" spans="1:1">
      <c r="A1738" s="22" t="s">
        <v>621</v>
      </c>
    </row>
    <row r="1740" spans="1:1">
      <c r="A1740" s="22" t="s">
        <v>622</v>
      </c>
    </row>
    <row r="1742" spans="1:1">
      <c r="A1742" s="19" t="s">
        <v>423</v>
      </c>
    </row>
    <row r="1744" spans="1:1">
      <c r="A1744" s="19" t="s">
        <v>424</v>
      </c>
    </row>
    <row r="1746" spans="1:1">
      <c r="A1746" s="22" t="s">
        <v>407</v>
      </c>
    </row>
    <row r="1748" spans="1:1">
      <c r="A1748" s="22">
        <v>3</v>
      </c>
    </row>
    <row r="1750" spans="1:1">
      <c r="A1750" s="22" t="s">
        <v>623</v>
      </c>
    </row>
    <row r="1752" spans="1:1">
      <c r="A1752" s="22" t="s">
        <v>532</v>
      </c>
    </row>
    <row r="1754" spans="1:1">
      <c r="A1754" s="19" t="s">
        <v>423</v>
      </c>
    </row>
    <row r="1756" spans="1:1">
      <c r="A1756" s="19" t="s">
        <v>424</v>
      </c>
    </row>
    <row r="1758" spans="1:1">
      <c r="A1758" s="22" t="s">
        <v>407</v>
      </c>
    </row>
    <row r="1760" spans="1:1">
      <c r="A1760" s="22">
        <v>2</v>
      </c>
    </row>
    <row r="1762" spans="1:1">
      <c r="A1762" s="22" t="s">
        <v>624</v>
      </c>
    </row>
    <row r="1764" spans="1:1">
      <c r="A1764" s="22" t="s">
        <v>523</v>
      </c>
    </row>
    <row r="1766" spans="1:1">
      <c r="A1766" s="19" t="s">
        <v>423</v>
      </c>
    </row>
    <row r="1768" spans="1:1">
      <c r="A1768" s="19" t="s">
        <v>424</v>
      </c>
    </row>
    <row r="1770" spans="1:1">
      <c r="A1770" s="22" t="s">
        <v>407</v>
      </c>
    </row>
    <row r="1772" spans="1:1">
      <c r="A1772" s="22">
        <v>2</v>
      </c>
    </row>
    <row r="1774" spans="1:1">
      <c r="A1774" s="22" t="s">
        <v>625</v>
      </c>
    </row>
    <row r="1776" spans="1:1">
      <c r="A1776" s="22" t="s">
        <v>626</v>
      </c>
    </row>
    <row r="1778" spans="1:1">
      <c r="A1778" s="19" t="s">
        <v>423</v>
      </c>
    </row>
    <row r="1780" spans="1:1">
      <c r="A1780" s="19" t="s">
        <v>424</v>
      </c>
    </row>
    <row r="1782" spans="1:1">
      <c r="A1782" s="22" t="s">
        <v>407</v>
      </c>
    </row>
    <row r="1784" spans="1:1">
      <c r="A1784" s="22">
        <v>2</v>
      </c>
    </row>
    <row r="1786" spans="1:1">
      <c r="A1786" s="19" t="s">
        <v>627</v>
      </c>
    </row>
    <row r="1788" spans="1:1">
      <c r="A1788" s="22" t="s">
        <v>133</v>
      </c>
    </row>
    <row r="1789" spans="1:1">
      <c r="A1789" s="22" t="s">
        <v>131</v>
      </c>
    </row>
    <row r="1790" spans="1:1">
      <c r="A1790" s="22" t="s">
        <v>389</v>
      </c>
    </row>
    <row r="1792" spans="1:1">
      <c r="A1792" s="19" t="s">
        <v>400</v>
      </c>
    </row>
    <row r="1794" spans="1:1">
      <c r="A1794" s="19" t="s">
        <v>402</v>
      </c>
    </row>
    <row r="1796" spans="1:1">
      <c r="A1796" s="22" t="s">
        <v>420</v>
      </c>
    </row>
    <row r="1798" spans="1:1">
      <c r="A1798" s="22" t="s">
        <v>628</v>
      </c>
    </row>
    <row r="1800" spans="1:1">
      <c r="A1800" s="22" t="s">
        <v>436</v>
      </c>
    </row>
    <row r="1802" spans="1:1">
      <c r="A1802" s="19" t="s">
        <v>406</v>
      </c>
    </row>
    <row r="1804" spans="1:1">
      <c r="A1804" s="22" t="s">
        <v>407</v>
      </c>
    </row>
    <row r="1806" spans="1:1">
      <c r="A1806" s="22">
        <v>2</v>
      </c>
    </row>
    <row r="1808" spans="1:1">
      <c r="A1808" s="22" t="s">
        <v>629</v>
      </c>
    </row>
    <row r="1810" spans="1:1">
      <c r="A1810" s="22" t="s">
        <v>630</v>
      </c>
    </row>
    <row r="1812" spans="1:1">
      <c r="A1812" s="19" t="s">
        <v>423</v>
      </c>
    </row>
    <row r="1814" spans="1:1">
      <c r="A1814" s="19" t="s">
        <v>424</v>
      </c>
    </row>
    <row r="1816" spans="1:1">
      <c r="A1816" s="22" t="s">
        <v>407</v>
      </c>
    </row>
    <row r="1818" spans="1:1">
      <c r="A1818" s="22">
        <v>2</v>
      </c>
    </row>
    <row r="1820" spans="1:1">
      <c r="A1820" s="22" t="s">
        <v>631</v>
      </c>
    </row>
    <row r="1822" spans="1:1">
      <c r="A1822" s="22" t="s">
        <v>436</v>
      </c>
    </row>
    <row r="1824" spans="1:1">
      <c r="A1824" s="19" t="s">
        <v>423</v>
      </c>
    </row>
    <row r="1826" spans="1:1">
      <c r="A1826" s="19" t="s">
        <v>424</v>
      </c>
    </row>
    <row r="1828" spans="1:1">
      <c r="A1828" s="22" t="s">
        <v>407</v>
      </c>
    </row>
    <row r="1830" spans="1:1">
      <c r="A1830" s="22">
        <v>2</v>
      </c>
    </row>
    <row r="1832" spans="1:1">
      <c r="A1832" s="22" t="s">
        <v>632</v>
      </c>
    </row>
    <row r="1834" spans="1:1">
      <c r="A1834" s="22" t="s">
        <v>633</v>
      </c>
    </row>
    <row r="1836" spans="1:1">
      <c r="A1836" s="19" t="s">
        <v>423</v>
      </c>
    </row>
    <row r="1838" spans="1:1">
      <c r="A1838" s="19" t="s">
        <v>424</v>
      </c>
    </row>
    <row r="1840" spans="1:1">
      <c r="A1840" s="22" t="s">
        <v>407</v>
      </c>
    </row>
    <row r="1842" spans="1:1">
      <c r="A1842" s="22">
        <v>2</v>
      </c>
    </row>
    <row r="1844" spans="1:1">
      <c r="A1844" s="22" t="s">
        <v>634</v>
      </c>
    </row>
    <row r="1846" spans="1:1">
      <c r="A1846" s="22" t="s">
        <v>507</v>
      </c>
    </row>
    <row r="1848" spans="1:1">
      <c r="A1848" s="19" t="s">
        <v>423</v>
      </c>
    </row>
    <row r="1850" spans="1:1">
      <c r="A1850" s="19" t="s">
        <v>424</v>
      </c>
    </row>
    <row r="1852" spans="1:1">
      <c r="A1852" s="22" t="s">
        <v>407</v>
      </c>
    </row>
    <row r="1854" spans="1:1">
      <c r="A1854" s="22">
        <v>3</v>
      </c>
    </row>
    <row r="1856" spans="1:1">
      <c r="A1856" s="22" t="s">
        <v>635</v>
      </c>
    </row>
    <row r="1858" spans="1:1">
      <c r="A1858" s="22" t="s">
        <v>469</v>
      </c>
    </row>
    <row r="1860" spans="1:1">
      <c r="A1860" s="19" t="s">
        <v>423</v>
      </c>
    </row>
    <row r="1862" spans="1:1">
      <c r="A1862" s="19" t="s">
        <v>424</v>
      </c>
    </row>
    <row r="1864" spans="1:1">
      <c r="A1864" s="22" t="s">
        <v>407</v>
      </c>
    </row>
    <row r="1866" spans="1:1">
      <c r="A1866" s="22">
        <v>2</v>
      </c>
    </row>
    <row r="1868" spans="1:1">
      <c r="A1868" s="22" t="s">
        <v>636</v>
      </c>
    </row>
    <row r="1870" spans="1:1">
      <c r="A1870" s="22" t="s">
        <v>460</v>
      </c>
    </row>
    <row r="1872" spans="1:1">
      <c r="A1872" s="19" t="s">
        <v>423</v>
      </c>
    </row>
    <row r="1874" spans="1:1">
      <c r="A1874" s="19" t="s">
        <v>424</v>
      </c>
    </row>
    <row r="1876" spans="1:1">
      <c r="A1876" s="22" t="s">
        <v>407</v>
      </c>
    </row>
    <row r="1878" spans="1:1">
      <c r="A1878" s="22">
        <v>6</v>
      </c>
    </row>
    <row r="1880" spans="1:1">
      <c r="A1880" s="22" t="s">
        <v>637</v>
      </c>
    </row>
    <row r="1882" spans="1:1">
      <c r="A1882" s="22" t="s">
        <v>538</v>
      </c>
    </row>
    <row r="1884" spans="1:1">
      <c r="A1884" s="19" t="s">
        <v>423</v>
      </c>
    </row>
    <row r="1886" spans="1:1">
      <c r="A1886" s="19" t="s">
        <v>424</v>
      </c>
    </row>
    <row r="1888" spans="1:1">
      <c r="A1888" s="22" t="s">
        <v>407</v>
      </c>
    </row>
    <row r="1890" spans="1:1">
      <c r="A1890" s="22">
        <v>2</v>
      </c>
    </row>
    <row r="1892" spans="1:1">
      <c r="A1892" s="19" t="s">
        <v>638</v>
      </c>
    </row>
    <row r="1894" spans="1:1">
      <c r="A1894" s="22" t="s">
        <v>133</v>
      </c>
    </row>
    <row r="1895" spans="1:1">
      <c r="A1895" s="22" t="s">
        <v>131</v>
      </c>
    </row>
    <row r="1896" spans="1:1">
      <c r="A1896" s="22" t="s">
        <v>389</v>
      </c>
    </row>
    <row r="1898" spans="1:1">
      <c r="A1898" s="19" t="s">
        <v>400</v>
      </c>
    </row>
    <row r="1900" spans="1:1">
      <c r="A1900" s="19" t="s">
        <v>402</v>
      </c>
    </row>
    <row r="1902" spans="1:1">
      <c r="A1902" s="22" t="s">
        <v>420</v>
      </c>
    </row>
    <row r="1904" spans="1:1">
      <c r="A1904" s="22" t="s">
        <v>639</v>
      </c>
    </row>
    <row r="1906" spans="1:1">
      <c r="A1906" s="22" t="s">
        <v>601</v>
      </c>
    </row>
    <row r="1908" spans="1:1">
      <c r="A1908" s="19" t="s">
        <v>406</v>
      </c>
    </row>
    <row r="1910" spans="1:1">
      <c r="A1910" s="22" t="s">
        <v>407</v>
      </c>
    </row>
    <row r="1912" spans="1:1">
      <c r="A1912" s="22">
        <v>2</v>
      </c>
    </row>
    <row r="1914" spans="1:1">
      <c r="A1914" s="22" t="s">
        <v>640</v>
      </c>
    </row>
    <row r="1916" spans="1:1">
      <c r="A1916" s="22" t="s">
        <v>641</v>
      </c>
    </row>
    <row r="1918" spans="1:1">
      <c r="A1918" s="19" t="s">
        <v>423</v>
      </c>
    </row>
    <row r="1920" spans="1:1">
      <c r="A1920" s="19" t="s">
        <v>424</v>
      </c>
    </row>
    <row r="1922" spans="1:1">
      <c r="A1922" s="22" t="s">
        <v>407</v>
      </c>
    </row>
    <row r="1924" spans="1:1">
      <c r="A1924" s="22">
        <v>2</v>
      </c>
    </row>
    <row r="1926" spans="1:1">
      <c r="A1926" s="22" t="s">
        <v>642</v>
      </c>
    </row>
    <row r="1928" spans="1:1">
      <c r="A1928" s="22" t="s">
        <v>643</v>
      </c>
    </row>
    <row r="1930" spans="1:1">
      <c r="A1930" s="19" t="s">
        <v>423</v>
      </c>
    </row>
    <row r="1932" spans="1:1">
      <c r="A1932" s="19" t="s">
        <v>424</v>
      </c>
    </row>
    <row r="1934" spans="1:1">
      <c r="A1934" s="22" t="s">
        <v>407</v>
      </c>
    </row>
    <row r="1936" spans="1:1">
      <c r="A1936" s="22">
        <v>3</v>
      </c>
    </row>
    <row r="1938" spans="1:1">
      <c r="A1938" s="22" t="s">
        <v>644</v>
      </c>
    </row>
    <row r="1940" spans="1:1">
      <c r="A1940" s="22" t="s">
        <v>523</v>
      </c>
    </row>
    <row r="1942" spans="1:1">
      <c r="A1942" s="19" t="s">
        <v>423</v>
      </c>
    </row>
    <row r="1944" spans="1:1">
      <c r="A1944" s="19" t="s">
        <v>424</v>
      </c>
    </row>
    <row r="1946" spans="1:1">
      <c r="A1946" s="22" t="s">
        <v>407</v>
      </c>
    </row>
    <row r="1948" spans="1:1">
      <c r="A1948" s="22">
        <v>2</v>
      </c>
    </row>
    <row r="1950" spans="1:1">
      <c r="A1950" s="22" t="s">
        <v>645</v>
      </c>
    </row>
    <row r="1952" spans="1:1">
      <c r="A1952" s="22" t="s">
        <v>646</v>
      </c>
    </row>
    <row r="1954" spans="1:1">
      <c r="A1954" s="19" t="s">
        <v>423</v>
      </c>
    </row>
    <row r="1956" spans="1:1">
      <c r="A1956" s="19" t="s">
        <v>424</v>
      </c>
    </row>
    <row r="1958" spans="1:1">
      <c r="A1958" s="22" t="s">
        <v>407</v>
      </c>
    </row>
    <row r="1960" spans="1:1">
      <c r="A1960" s="22">
        <v>2</v>
      </c>
    </row>
    <row r="1962" spans="1:1">
      <c r="A1962" s="22" t="s">
        <v>647</v>
      </c>
    </row>
    <row r="1964" spans="1:1">
      <c r="A1964" s="22" t="s">
        <v>648</v>
      </c>
    </row>
    <row r="1966" spans="1:1">
      <c r="A1966" s="19" t="s">
        <v>423</v>
      </c>
    </row>
    <row r="1968" spans="1:1">
      <c r="A1968" s="19" t="s">
        <v>424</v>
      </c>
    </row>
    <row r="1970" spans="1:1">
      <c r="A1970" s="22" t="s">
        <v>407</v>
      </c>
    </row>
    <row r="1972" spans="1:1">
      <c r="A1972" s="22">
        <v>2</v>
      </c>
    </row>
    <row r="1974" spans="1:1">
      <c r="A1974" s="22" t="s">
        <v>649</v>
      </c>
    </row>
    <row r="1976" spans="1:1">
      <c r="A1976" s="22" t="s">
        <v>650</v>
      </c>
    </row>
    <row r="1978" spans="1:1">
      <c r="A1978" s="19" t="s">
        <v>423</v>
      </c>
    </row>
    <row r="1980" spans="1:1">
      <c r="A1980" s="19" t="s">
        <v>424</v>
      </c>
    </row>
    <row r="1982" spans="1:1">
      <c r="A1982" s="22" t="s">
        <v>407</v>
      </c>
    </row>
    <row r="1984" spans="1:1">
      <c r="A1984" s="22">
        <v>6</v>
      </c>
    </row>
    <row r="1986" spans="1:1">
      <c r="A1986" s="22" t="s">
        <v>651</v>
      </c>
    </row>
    <row r="1988" spans="1:1">
      <c r="A1988" s="22" t="s">
        <v>652</v>
      </c>
    </row>
    <row r="1990" spans="1:1">
      <c r="A1990" s="19" t="s">
        <v>423</v>
      </c>
    </row>
    <row r="1992" spans="1:1">
      <c r="A1992" s="19" t="s">
        <v>424</v>
      </c>
    </row>
    <row r="1994" spans="1:1">
      <c r="A1994" s="22" t="s">
        <v>407</v>
      </c>
    </row>
    <row r="1996" spans="1:1">
      <c r="A1996" s="22">
        <v>2</v>
      </c>
    </row>
    <row r="1998" spans="1:1">
      <c r="A1998" s="19" t="s">
        <v>653</v>
      </c>
    </row>
    <row r="2000" spans="1:1">
      <c r="A2000" s="22" t="s">
        <v>133</v>
      </c>
    </row>
    <row r="2001" spans="1:1">
      <c r="A2001" s="22" t="s">
        <v>131</v>
      </c>
    </row>
    <row r="2002" spans="1:1">
      <c r="A2002" s="22" t="s">
        <v>389</v>
      </c>
    </row>
    <row r="2004" spans="1:1">
      <c r="A2004" s="19" t="s">
        <v>400</v>
      </c>
    </row>
    <row r="2006" spans="1:1">
      <c r="A2006" s="19" t="s">
        <v>402</v>
      </c>
    </row>
    <row r="2008" spans="1:1">
      <c r="A2008" s="22" t="s">
        <v>420</v>
      </c>
    </row>
    <row r="2010" spans="1:1">
      <c r="A2010" s="22" t="s">
        <v>654</v>
      </c>
    </row>
    <row r="2012" spans="1:1">
      <c r="A2012" s="22" t="s">
        <v>550</v>
      </c>
    </row>
    <row r="2014" spans="1:1">
      <c r="A2014" s="19" t="s">
        <v>406</v>
      </c>
    </row>
    <row r="2016" spans="1:1">
      <c r="A2016" s="22" t="s">
        <v>407</v>
      </c>
    </row>
    <row r="2018" spans="1:1">
      <c r="A2018" s="22">
        <v>2</v>
      </c>
    </row>
    <row r="2020" spans="1:1">
      <c r="A2020" s="22" t="s">
        <v>655</v>
      </c>
    </row>
    <row r="2022" spans="1:1">
      <c r="A2022" s="22" t="s">
        <v>550</v>
      </c>
    </row>
    <row r="2024" spans="1:1">
      <c r="A2024" s="19" t="s">
        <v>423</v>
      </c>
    </row>
    <row r="2026" spans="1:1">
      <c r="A2026" s="19" t="s">
        <v>424</v>
      </c>
    </row>
    <row r="2028" spans="1:1">
      <c r="A2028" s="22" t="s">
        <v>407</v>
      </c>
    </row>
    <row r="2030" spans="1:1">
      <c r="A2030" s="22">
        <v>2</v>
      </c>
    </row>
    <row r="2032" spans="1:1">
      <c r="A2032" s="22" t="s">
        <v>656</v>
      </c>
    </row>
    <row r="2034" spans="1:1">
      <c r="A2034" s="22" t="s">
        <v>504</v>
      </c>
    </row>
    <row r="2036" spans="1:1">
      <c r="A2036" s="19" t="s">
        <v>423</v>
      </c>
    </row>
    <row r="2038" spans="1:1">
      <c r="A2038" s="19" t="s">
        <v>424</v>
      </c>
    </row>
    <row r="2040" spans="1:1">
      <c r="A2040" s="22" t="s">
        <v>407</v>
      </c>
    </row>
    <row r="2042" spans="1:1">
      <c r="A2042" s="22">
        <v>2</v>
      </c>
    </row>
    <row r="2044" spans="1:1">
      <c r="A2044" s="22" t="s">
        <v>657</v>
      </c>
    </row>
    <row r="2046" spans="1:1">
      <c r="A2046" s="22" t="s">
        <v>548</v>
      </c>
    </row>
    <row r="2048" spans="1:1">
      <c r="A2048" s="19" t="s">
        <v>423</v>
      </c>
    </row>
    <row r="2050" spans="1:1">
      <c r="A2050" s="19" t="s">
        <v>424</v>
      </c>
    </row>
    <row r="2052" spans="1:1">
      <c r="A2052" s="22" t="s">
        <v>407</v>
      </c>
    </row>
    <row r="2054" spans="1:1">
      <c r="A2054" s="22">
        <v>2</v>
      </c>
    </row>
    <row r="2056" spans="1:1">
      <c r="A2056" s="22" t="s">
        <v>658</v>
      </c>
    </row>
    <row r="2058" spans="1:1">
      <c r="A2058" s="22" t="s">
        <v>659</v>
      </c>
    </row>
    <row r="2060" spans="1:1">
      <c r="A2060" s="19" t="s">
        <v>423</v>
      </c>
    </row>
    <row r="2062" spans="1:1">
      <c r="A2062" s="19" t="s">
        <v>424</v>
      </c>
    </row>
    <row r="2064" spans="1:1">
      <c r="A2064" s="22" t="s">
        <v>407</v>
      </c>
    </row>
    <row r="2066" spans="1:1">
      <c r="A2066" s="22">
        <v>10</v>
      </c>
    </row>
    <row r="2068" spans="1:1">
      <c r="A2068" s="22" t="s">
        <v>660</v>
      </c>
    </row>
    <row r="2070" spans="1:1">
      <c r="A2070" s="22" t="s">
        <v>601</v>
      </c>
    </row>
    <row r="2072" spans="1:1">
      <c r="A2072" s="19" t="s">
        <v>423</v>
      </c>
    </row>
    <row r="2074" spans="1:1">
      <c r="A2074" s="19" t="s">
        <v>424</v>
      </c>
    </row>
    <row r="2076" spans="1:1">
      <c r="A2076" s="22" t="s">
        <v>407</v>
      </c>
    </row>
    <row r="2078" spans="1:1">
      <c r="A2078" s="22">
        <v>2</v>
      </c>
    </row>
    <row r="2080" spans="1:1">
      <c r="A2080" s="22" t="s">
        <v>661</v>
      </c>
    </row>
    <row r="2082" spans="1:1">
      <c r="A2082" s="22" t="s">
        <v>432</v>
      </c>
    </row>
    <row r="2084" spans="1:1">
      <c r="A2084" s="19" t="s">
        <v>423</v>
      </c>
    </row>
    <row r="2086" spans="1:1">
      <c r="A2086" s="19" t="s">
        <v>424</v>
      </c>
    </row>
    <row r="2088" spans="1:1">
      <c r="A2088" s="22" t="s">
        <v>407</v>
      </c>
    </row>
    <row r="2090" spans="1:1">
      <c r="A2090" s="22">
        <v>1</v>
      </c>
    </row>
    <row r="2092" spans="1:1">
      <c r="A2092" s="22" t="s">
        <v>662</v>
      </c>
    </row>
    <row r="2094" spans="1:1">
      <c r="A2094" s="22" t="s">
        <v>507</v>
      </c>
    </row>
    <row r="2096" spans="1:1">
      <c r="A2096" s="19" t="s">
        <v>423</v>
      </c>
    </row>
    <row r="2098" spans="1:1">
      <c r="A2098" s="19" t="s">
        <v>424</v>
      </c>
    </row>
    <row r="2100" spans="1:1">
      <c r="A2100" s="22" t="s">
        <v>407</v>
      </c>
    </row>
    <row r="2102" spans="1:1">
      <c r="A2102" s="22">
        <v>4</v>
      </c>
    </row>
    <row r="2104" spans="1:1">
      <c r="A2104" s="19" t="s">
        <v>663</v>
      </c>
    </row>
    <row r="2106" spans="1:1">
      <c r="A2106" s="22" t="s">
        <v>133</v>
      </c>
    </row>
    <row r="2107" spans="1:1">
      <c r="A2107" s="22" t="s">
        <v>131</v>
      </c>
    </row>
    <row r="2108" spans="1:1">
      <c r="A2108" s="22" t="s">
        <v>389</v>
      </c>
    </row>
    <row r="2110" spans="1:1">
      <c r="A2110" s="19" t="s">
        <v>400</v>
      </c>
    </row>
    <row r="2112" spans="1:1">
      <c r="A2112" s="19" t="s">
        <v>402</v>
      </c>
    </row>
    <row r="2114" spans="1:1">
      <c r="A2114" s="22" t="s">
        <v>420</v>
      </c>
    </row>
    <row r="2116" spans="1:1">
      <c r="A2116" s="22" t="s">
        <v>664</v>
      </c>
    </row>
    <row r="2118" spans="1:1">
      <c r="A2118" s="22" t="s">
        <v>665</v>
      </c>
    </row>
    <row r="2120" spans="1:1">
      <c r="A2120" s="19" t="s">
        <v>406</v>
      </c>
    </row>
    <row r="2122" spans="1:1">
      <c r="A2122" s="22" t="s">
        <v>407</v>
      </c>
    </row>
    <row r="2124" spans="1:1">
      <c r="A2124" s="22">
        <v>2</v>
      </c>
    </row>
    <row r="2126" spans="1:1">
      <c r="A2126" s="22" t="s">
        <v>666</v>
      </c>
    </row>
    <row r="2128" spans="1:1">
      <c r="A2128" s="22" t="s">
        <v>667</v>
      </c>
    </row>
    <row r="2130" spans="1:1">
      <c r="A2130" s="19" t="s">
        <v>423</v>
      </c>
    </row>
    <row r="2132" spans="1:1">
      <c r="A2132" s="19" t="s">
        <v>424</v>
      </c>
    </row>
    <row r="2134" spans="1:1">
      <c r="A2134" s="22" t="s">
        <v>407</v>
      </c>
    </row>
    <row r="2136" spans="1:1">
      <c r="A2136" s="22">
        <v>2</v>
      </c>
    </row>
    <row r="2138" spans="1:1">
      <c r="A2138" s="22" t="s">
        <v>668</v>
      </c>
    </row>
    <row r="2140" spans="1:1">
      <c r="A2140" s="22" t="s">
        <v>669</v>
      </c>
    </row>
    <row r="2142" spans="1:1">
      <c r="A2142" s="19" t="s">
        <v>423</v>
      </c>
    </row>
    <row r="2144" spans="1:1">
      <c r="A2144" s="19" t="s">
        <v>424</v>
      </c>
    </row>
    <row r="2146" spans="1:1">
      <c r="A2146" s="22" t="s">
        <v>407</v>
      </c>
    </row>
    <row r="2148" spans="1:1">
      <c r="A2148" s="22">
        <v>2</v>
      </c>
    </row>
    <row r="2150" spans="1:1">
      <c r="A2150" s="22" t="s">
        <v>670</v>
      </c>
    </row>
    <row r="2152" spans="1:1">
      <c r="A2152" s="22" t="s">
        <v>469</v>
      </c>
    </row>
    <row r="2154" spans="1:1">
      <c r="A2154" s="19" t="s">
        <v>423</v>
      </c>
    </row>
    <row r="2156" spans="1:1">
      <c r="A2156" s="19" t="s">
        <v>424</v>
      </c>
    </row>
    <row r="2158" spans="1:1">
      <c r="A2158" s="22" t="s">
        <v>407</v>
      </c>
    </row>
    <row r="2160" spans="1:1">
      <c r="A2160" s="22">
        <v>2</v>
      </c>
    </row>
    <row r="2162" spans="1:1">
      <c r="A2162" s="22" t="s">
        <v>671</v>
      </c>
    </row>
    <row r="2164" spans="1:1">
      <c r="A2164" s="22" t="s">
        <v>672</v>
      </c>
    </row>
    <row r="2166" spans="1:1">
      <c r="A2166" s="19" t="s">
        <v>423</v>
      </c>
    </row>
    <row r="2168" spans="1:1">
      <c r="A2168" s="19" t="s">
        <v>424</v>
      </c>
    </row>
    <row r="2170" spans="1:1">
      <c r="A2170" s="22" t="s">
        <v>407</v>
      </c>
    </row>
    <row r="2172" spans="1:1">
      <c r="A2172" s="22">
        <v>3</v>
      </c>
    </row>
    <row r="2174" spans="1:1">
      <c r="A2174" s="22" t="s">
        <v>673</v>
      </c>
    </row>
    <row r="2176" spans="1:1">
      <c r="A2176" s="22" t="s">
        <v>460</v>
      </c>
    </row>
    <row r="2178" spans="1:1">
      <c r="A2178" s="19" t="s">
        <v>423</v>
      </c>
    </row>
    <row r="2180" spans="1:1">
      <c r="A2180" s="19" t="s">
        <v>424</v>
      </c>
    </row>
    <row r="2182" spans="1:1">
      <c r="A2182" s="22" t="s">
        <v>407</v>
      </c>
    </row>
    <row r="2184" spans="1:1">
      <c r="A2184" s="22">
        <v>6</v>
      </c>
    </row>
    <row r="2186" spans="1:1">
      <c r="A2186" s="22" t="s">
        <v>674</v>
      </c>
    </row>
    <row r="2188" spans="1:1">
      <c r="A2188" s="22" t="s">
        <v>504</v>
      </c>
    </row>
    <row r="2190" spans="1:1">
      <c r="A2190" s="19" t="s">
        <v>423</v>
      </c>
    </row>
    <row r="2192" spans="1:1">
      <c r="A2192" s="19" t="s">
        <v>424</v>
      </c>
    </row>
    <row r="2194" spans="1:1">
      <c r="A2194" s="22" t="s">
        <v>407</v>
      </c>
    </row>
    <row r="2196" spans="1:1">
      <c r="A2196" s="22">
        <v>2</v>
      </c>
    </row>
    <row r="2198" spans="1:1">
      <c r="A2198" s="22" t="s">
        <v>675</v>
      </c>
    </row>
    <row r="2200" spans="1:1">
      <c r="A2200" s="22" t="s">
        <v>676</v>
      </c>
    </row>
    <row r="2202" spans="1:1">
      <c r="A2202" s="19" t="s">
        <v>423</v>
      </c>
    </row>
    <row r="2204" spans="1:1">
      <c r="A2204" s="19" t="s">
        <v>424</v>
      </c>
    </row>
    <row r="2206" spans="1:1">
      <c r="A2206" s="22" t="s">
        <v>407</v>
      </c>
    </row>
    <row r="2208" spans="1:1">
      <c r="A2208" s="22">
        <v>2</v>
      </c>
    </row>
    <row r="2210" spans="1:1">
      <c r="A2210" s="19" t="s">
        <v>677</v>
      </c>
    </row>
    <row r="2212" spans="1:1">
      <c r="A2212" s="22" t="s">
        <v>133</v>
      </c>
    </row>
    <row r="2213" spans="1:1">
      <c r="A2213" s="22" t="s">
        <v>131</v>
      </c>
    </row>
    <row r="2214" spans="1:1">
      <c r="A2214" s="22" t="s">
        <v>389</v>
      </c>
    </row>
    <row r="2216" spans="1:1">
      <c r="A2216" s="19" t="s">
        <v>400</v>
      </c>
    </row>
    <row r="2218" spans="1:1">
      <c r="A2218" s="19" t="s">
        <v>402</v>
      </c>
    </row>
    <row r="2220" spans="1:1">
      <c r="A2220" s="22" t="s">
        <v>420</v>
      </c>
    </row>
    <row r="2222" spans="1:1">
      <c r="A2222" s="22" t="s">
        <v>678</v>
      </c>
    </row>
    <row r="2224" spans="1:1">
      <c r="A2224" s="22" t="s">
        <v>679</v>
      </c>
    </row>
    <row r="2226" spans="1:1">
      <c r="A2226" s="19" t="s">
        <v>406</v>
      </c>
    </row>
    <row r="2228" spans="1:1">
      <c r="A2228" s="22" t="s">
        <v>407</v>
      </c>
    </row>
    <row r="2230" spans="1:1">
      <c r="A2230" s="22">
        <v>2</v>
      </c>
    </row>
    <row r="2232" spans="1:1">
      <c r="A2232" s="22" t="s">
        <v>680</v>
      </c>
    </row>
    <row r="2234" spans="1:1">
      <c r="A2234" s="22" t="s">
        <v>564</v>
      </c>
    </row>
    <row r="2236" spans="1:1">
      <c r="A2236" s="19" t="s">
        <v>423</v>
      </c>
    </row>
    <row r="2238" spans="1:1">
      <c r="A2238" s="19" t="s">
        <v>424</v>
      </c>
    </row>
    <row r="2240" spans="1:1">
      <c r="A2240" s="22" t="s">
        <v>407</v>
      </c>
    </row>
    <row r="2242" spans="1:1">
      <c r="A2242" s="22">
        <v>6</v>
      </c>
    </row>
    <row r="2244" spans="1:1">
      <c r="A2244" s="22" t="s">
        <v>681</v>
      </c>
    </row>
    <row r="2246" spans="1:1">
      <c r="A2246" s="22" t="s">
        <v>422</v>
      </c>
    </row>
    <row r="2248" spans="1:1">
      <c r="A2248" s="19" t="s">
        <v>423</v>
      </c>
    </row>
    <row r="2250" spans="1:1">
      <c r="A2250" s="19" t="s">
        <v>424</v>
      </c>
    </row>
    <row r="2252" spans="1:1">
      <c r="A2252" s="22" t="s">
        <v>407</v>
      </c>
    </row>
    <row r="2254" spans="1:1">
      <c r="A2254" s="22">
        <v>1</v>
      </c>
    </row>
    <row r="2256" spans="1:1">
      <c r="A2256" s="22" t="s">
        <v>682</v>
      </c>
    </row>
    <row r="2258" spans="1:1">
      <c r="A2258" s="22" t="s">
        <v>430</v>
      </c>
    </row>
    <row r="2260" spans="1:1">
      <c r="A2260" s="19" t="s">
        <v>423</v>
      </c>
    </row>
    <row r="2262" spans="1:1">
      <c r="A2262" s="19" t="s">
        <v>424</v>
      </c>
    </row>
    <row r="2264" spans="1:1">
      <c r="A2264" s="22" t="s">
        <v>407</v>
      </c>
    </row>
    <row r="2266" spans="1:1">
      <c r="A2266" s="22">
        <v>1</v>
      </c>
    </row>
    <row r="2268" spans="1:1">
      <c r="A2268" s="22" t="s">
        <v>683</v>
      </c>
    </row>
    <row r="2270" spans="1:1">
      <c r="A2270" s="22" t="s">
        <v>659</v>
      </c>
    </row>
    <row r="2272" spans="1:1">
      <c r="A2272" s="19" t="s">
        <v>423</v>
      </c>
    </row>
    <row r="2274" spans="1:1">
      <c r="A2274" s="19" t="s">
        <v>424</v>
      </c>
    </row>
    <row r="2276" spans="1:1">
      <c r="A2276" s="22" t="s">
        <v>407</v>
      </c>
    </row>
    <row r="2278" spans="1:1">
      <c r="A2278" s="22">
        <v>8</v>
      </c>
    </row>
    <row r="2280" spans="1:1">
      <c r="A2280" s="22" t="s">
        <v>684</v>
      </c>
    </row>
    <row r="2282" spans="1:1">
      <c r="A2282" s="22" t="s">
        <v>418</v>
      </c>
    </row>
    <row r="2284" spans="1:1">
      <c r="A2284" s="19" t="s">
        <v>423</v>
      </c>
    </row>
    <row r="2286" spans="1:1">
      <c r="A2286" s="19" t="s">
        <v>424</v>
      </c>
    </row>
    <row r="2288" spans="1:1">
      <c r="A2288" s="22" t="s">
        <v>407</v>
      </c>
    </row>
    <row r="2290" spans="1:1">
      <c r="A2290" s="22">
        <v>1</v>
      </c>
    </row>
    <row r="2292" spans="1:1">
      <c r="A2292" s="22" t="s">
        <v>685</v>
      </c>
    </row>
    <row r="2294" spans="1:1">
      <c r="A2294" s="22" t="s">
        <v>422</v>
      </c>
    </row>
    <row r="2296" spans="1:1">
      <c r="A2296" s="19" t="s">
        <v>423</v>
      </c>
    </row>
    <row r="2298" spans="1:1">
      <c r="A2298" s="19" t="s">
        <v>424</v>
      </c>
    </row>
    <row r="2300" spans="1:1">
      <c r="A2300" s="22" t="s">
        <v>407</v>
      </c>
    </row>
    <row r="2302" spans="1:1">
      <c r="A2302" s="22">
        <v>1</v>
      </c>
    </row>
    <row r="2304" spans="1:1">
      <c r="A2304" s="22" t="s">
        <v>686</v>
      </c>
    </row>
    <row r="2306" spans="1:1">
      <c r="A2306" s="22" t="s">
        <v>432</v>
      </c>
    </row>
    <row r="2308" spans="1:1">
      <c r="A2308" s="19" t="s">
        <v>423</v>
      </c>
    </row>
    <row r="2310" spans="1:1">
      <c r="A2310" s="19" t="s">
        <v>424</v>
      </c>
    </row>
    <row r="2312" spans="1:1">
      <c r="A2312" s="22" t="s">
        <v>407</v>
      </c>
    </row>
    <row r="2314" spans="1:1">
      <c r="A2314" s="22">
        <v>1</v>
      </c>
    </row>
    <row r="2316" spans="1:1">
      <c r="A2316" s="19" t="s">
        <v>687</v>
      </c>
    </row>
    <row r="2318" spans="1:1">
      <c r="A2318" s="22" t="s">
        <v>133</v>
      </c>
    </row>
    <row r="2319" spans="1:1">
      <c r="A2319" s="22" t="s">
        <v>131</v>
      </c>
    </row>
    <row r="2320" spans="1:1">
      <c r="A2320" s="22" t="s">
        <v>389</v>
      </c>
    </row>
    <row r="2322" spans="1:1">
      <c r="A2322" s="19" t="s">
        <v>400</v>
      </c>
    </row>
    <row r="2324" spans="1:1">
      <c r="A2324" s="19" t="s">
        <v>402</v>
      </c>
    </row>
    <row r="2326" spans="1:1">
      <c r="A2326" s="22" t="s">
        <v>420</v>
      </c>
    </row>
    <row r="2328" spans="1:1">
      <c r="A2328" s="22" t="s">
        <v>688</v>
      </c>
    </row>
    <row r="2330" spans="1:1">
      <c r="A2330" s="22" t="s">
        <v>432</v>
      </c>
    </row>
    <row r="2332" spans="1:1">
      <c r="A2332" s="19" t="s">
        <v>406</v>
      </c>
    </row>
    <row r="2334" spans="1:1">
      <c r="A2334" s="22" t="s">
        <v>407</v>
      </c>
    </row>
    <row r="2336" spans="1:1">
      <c r="A2336" s="22">
        <v>1</v>
      </c>
    </row>
    <row r="2338" spans="1:1">
      <c r="A2338" s="22" t="s">
        <v>689</v>
      </c>
    </row>
    <row r="2340" spans="1:1">
      <c r="A2340" s="22" t="s">
        <v>422</v>
      </c>
    </row>
    <row r="2342" spans="1:1">
      <c r="A2342" s="19" t="s">
        <v>423</v>
      </c>
    </row>
    <row r="2344" spans="1:1">
      <c r="A2344" s="19" t="s">
        <v>424</v>
      </c>
    </row>
    <row r="2346" spans="1:1">
      <c r="A2346" s="22" t="s">
        <v>407</v>
      </c>
    </row>
    <row r="2348" spans="1:1">
      <c r="A2348" s="22">
        <v>1</v>
      </c>
    </row>
    <row r="2350" spans="1:1">
      <c r="A2350" s="22" t="s">
        <v>690</v>
      </c>
    </row>
    <row r="2352" spans="1:1">
      <c r="A2352" s="22" t="s">
        <v>441</v>
      </c>
    </row>
    <row r="2354" spans="1:1">
      <c r="A2354" s="19" t="s">
        <v>423</v>
      </c>
    </row>
    <row r="2356" spans="1:1">
      <c r="A2356" s="19" t="s">
        <v>424</v>
      </c>
    </row>
    <row r="2358" spans="1:1">
      <c r="A2358" s="22" t="s">
        <v>407</v>
      </c>
    </row>
    <row r="2360" spans="1:1">
      <c r="A2360" s="22">
        <v>2</v>
      </c>
    </row>
    <row r="2362" spans="1:1">
      <c r="A2362" s="22" t="s">
        <v>691</v>
      </c>
    </row>
    <row r="2364" spans="1:1">
      <c r="A2364" s="22" t="s">
        <v>418</v>
      </c>
    </row>
    <row r="2366" spans="1:1">
      <c r="A2366" s="19" t="s">
        <v>423</v>
      </c>
    </row>
    <row r="2368" spans="1:1">
      <c r="A2368" s="19" t="s">
        <v>424</v>
      </c>
    </row>
    <row r="2370" spans="1:1">
      <c r="A2370" s="22" t="s">
        <v>407</v>
      </c>
    </row>
    <row r="2372" spans="1:1">
      <c r="A2372" s="22">
        <v>2</v>
      </c>
    </row>
    <row r="2374" spans="1:1">
      <c r="A2374" s="22" t="s">
        <v>692</v>
      </c>
    </row>
    <row r="2376" spans="1:1">
      <c r="A2376" s="22" t="s">
        <v>650</v>
      </c>
    </row>
    <row r="2378" spans="1:1">
      <c r="A2378" s="19" t="s">
        <v>423</v>
      </c>
    </row>
    <row r="2380" spans="1:1">
      <c r="A2380" s="19" t="s">
        <v>424</v>
      </c>
    </row>
    <row r="2382" spans="1:1">
      <c r="A2382" s="22" t="s">
        <v>407</v>
      </c>
    </row>
    <row r="2384" spans="1:1">
      <c r="A2384" s="22">
        <v>6</v>
      </c>
    </row>
    <row r="2386" spans="1:1">
      <c r="A2386" s="22" t="s">
        <v>693</v>
      </c>
    </row>
    <row r="2388" spans="1:1">
      <c r="A2388" s="22" t="s">
        <v>418</v>
      </c>
    </row>
    <row r="2390" spans="1:1">
      <c r="A2390" s="19" t="s">
        <v>423</v>
      </c>
    </row>
    <row r="2392" spans="1:1">
      <c r="A2392" s="19" t="s">
        <v>424</v>
      </c>
    </row>
    <row r="2394" spans="1:1">
      <c r="A2394" s="22" t="s">
        <v>407</v>
      </c>
    </row>
    <row r="2396" spans="1:1">
      <c r="A2396" s="22">
        <v>2</v>
      </c>
    </row>
    <row r="2398" spans="1:1">
      <c r="A2398" s="22" t="s">
        <v>694</v>
      </c>
    </row>
    <row r="2400" spans="1:1">
      <c r="A2400" s="22" t="s">
        <v>430</v>
      </c>
    </row>
    <row r="2402" spans="1:1">
      <c r="A2402" s="19" t="s">
        <v>423</v>
      </c>
    </row>
    <row r="2404" spans="1:1">
      <c r="A2404" s="19" t="s">
        <v>424</v>
      </c>
    </row>
    <row r="2406" spans="1:1">
      <c r="A2406" s="22" t="s">
        <v>407</v>
      </c>
    </row>
    <row r="2408" spans="1:1">
      <c r="A2408" s="22">
        <v>2</v>
      </c>
    </row>
    <row r="2410" spans="1:1">
      <c r="A2410" s="22" t="s">
        <v>695</v>
      </c>
    </row>
    <row r="2412" spans="1:1">
      <c r="A2412" s="22" t="s">
        <v>418</v>
      </c>
    </row>
    <row r="2414" spans="1:1">
      <c r="A2414" s="19" t="s">
        <v>423</v>
      </c>
    </row>
    <row r="2416" spans="1:1">
      <c r="A2416" s="19" t="s">
        <v>424</v>
      </c>
    </row>
    <row r="2418" spans="1:1">
      <c r="A2418" s="22" t="s">
        <v>407</v>
      </c>
    </row>
    <row r="2420" spans="1:1">
      <c r="A2420" s="22">
        <v>2</v>
      </c>
    </row>
    <row r="2422" spans="1:1">
      <c r="A2422" s="19" t="s">
        <v>696</v>
      </c>
    </row>
    <row r="2424" spans="1:1">
      <c r="A2424" s="22" t="s">
        <v>133</v>
      </c>
    </row>
    <row r="2425" spans="1:1">
      <c r="A2425" s="22" t="s">
        <v>131</v>
      </c>
    </row>
    <row r="2426" spans="1:1">
      <c r="A2426" s="22" t="s">
        <v>389</v>
      </c>
    </row>
    <row r="2428" spans="1:1">
      <c r="A2428" s="19" t="s">
        <v>400</v>
      </c>
    </row>
    <row r="2430" spans="1:1">
      <c r="A2430" s="19" t="s">
        <v>402</v>
      </c>
    </row>
    <row r="2432" spans="1:1">
      <c r="A2432" s="22" t="s">
        <v>420</v>
      </c>
    </row>
    <row r="2434" spans="1:1">
      <c r="A2434" s="22" t="s">
        <v>697</v>
      </c>
    </row>
    <row r="2436" spans="1:1">
      <c r="A2436" s="22" t="s">
        <v>444</v>
      </c>
    </row>
    <row r="2438" spans="1:1">
      <c r="A2438" s="19" t="s">
        <v>406</v>
      </c>
    </row>
    <row r="2440" spans="1:1">
      <c r="A2440" s="22" t="s">
        <v>407</v>
      </c>
    </row>
    <row r="2442" spans="1:1">
      <c r="A2442" s="22">
        <v>6</v>
      </c>
    </row>
    <row r="2444" spans="1:1">
      <c r="A2444" s="22" t="s">
        <v>698</v>
      </c>
    </row>
    <row r="2446" spans="1:1">
      <c r="A2446" s="22" t="s">
        <v>495</v>
      </c>
    </row>
    <row r="2448" spans="1:1">
      <c r="A2448" s="19" t="s">
        <v>423</v>
      </c>
    </row>
    <row r="2450" spans="1:1">
      <c r="A2450" s="19" t="s">
        <v>424</v>
      </c>
    </row>
    <row r="2452" spans="1:1">
      <c r="A2452" s="22" t="s">
        <v>407</v>
      </c>
    </row>
    <row r="2454" spans="1:1">
      <c r="A2454" s="22">
        <v>6</v>
      </c>
    </row>
    <row r="2456" spans="1:1">
      <c r="A2456" s="22" t="s">
        <v>699</v>
      </c>
    </row>
    <row r="2458" spans="1:1">
      <c r="A2458" s="22" t="s">
        <v>432</v>
      </c>
    </row>
    <row r="2460" spans="1:1">
      <c r="A2460" s="19" t="s">
        <v>423</v>
      </c>
    </row>
    <row r="2462" spans="1:1">
      <c r="A2462" s="19" t="s">
        <v>424</v>
      </c>
    </row>
    <row r="2464" spans="1:1">
      <c r="A2464" s="22" t="s">
        <v>407</v>
      </c>
    </row>
    <row r="2466" spans="1:1">
      <c r="A2466" s="22">
        <v>2</v>
      </c>
    </row>
    <row r="2468" spans="1:1">
      <c r="A2468" s="22" t="s">
        <v>700</v>
      </c>
    </row>
    <row r="2470" spans="1:1">
      <c r="A2470" s="22" t="s">
        <v>701</v>
      </c>
    </row>
    <row r="2472" spans="1:1">
      <c r="A2472" s="19" t="s">
        <v>423</v>
      </c>
    </row>
    <row r="2474" spans="1:1">
      <c r="A2474" s="19" t="s">
        <v>424</v>
      </c>
    </row>
    <row r="2476" spans="1:1">
      <c r="A2476" s="22" t="s">
        <v>407</v>
      </c>
    </row>
    <row r="2478" spans="1:1">
      <c r="A2478" s="22">
        <v>2</v>
      </c>
    </row>
    <row r="2480" spans="1:1">
      <c r="A2480" s="22" t="s">
        <v>702</v>
      </c>
    </row>
    <row r="2482" spans="1:1">
      <c r="A2482" s="22" t="s">
        <v>703</v>
      </c>
    </row>
    <row r="2484" spans="1:1">
      <c r="A2484" s="19" t="s">
        <v>423</v>
      </c>
    </row>
    <row r="2486" spans="1:1">
      <c r="A2486" s="19" t="s">
        <v>424</v>
      </c>
    </row>
    <row r="2488" spans="1:1">
      <c r="A2488" s="22" t="s">
        <v>407</v>
      </c>
    </row>
    <row r="2490" spans="1:1">
      <c r="A2490" s="22">
        <v>3</v>
      </c>
    </row>
    <row r="2492" spans="1:1">
      <c r="A2492" s="22" t="s">
        <v>704</v>
      </c>
    </row>
    <row r="2494" spans="1:1">
      <c r="A2494" s="22" t="s">
        <v>705</v>
      </c>
    </row>
    <row r="2496" spans="1:1">
      <c r="A2496" s="19" t="s">
        <v>423</v>
      </c>
    </row>
    <row r="2498" spans="1:1">
      <c r="A2498" s="19" t="s">
        <v>424</v>
      </c>
    </row>
    <row r="2500" spans="1:1">
      <c r="A2500" s="22" t="s">
        <v>407</v>
      </c>
    </row>
    <row r="2502" spans="1:1">
      <c r="A2502" s="22">
        <v>2</v>
      </c>
    </row>
    <row r="2504" spans="1:1">
      <c r="A2504" s="22" t="s">
        <v>706</v>
      </c>
    </row>
    <row r="2506" spans="1:1">
      <c r="A2506" s="22" t="s">
        <v>707</v>
      </c>
    </row>
    <row r="2508" spans="1:1">
      <c r="A2508" s="19" t="s">
        <v>423</v>
      </c>
    </row>
    <row r="2510" spans="1:1">
      <c r="A2510" s="19" t="s">
        <v>424</v>
      </c>
    </row>
    <row r="2512" spans="1:1">
      <c r="A2512" s="22" t="s">
        <v>407</v>
      </c>
    </row>
    <row r="2514" spans="1:1">
      <c r="A2514" s="22">
        <v>2</v>
      </c>
    </row>
    <row r="2516" spans="1:1">
      <c r="A2516" s="22" t="s">
        <v>708</v>
      </c>
    </row>
    <row r="2518" spans="1:1">
      <c r="A2518" s="22" t="s">
        <v>709</v>
      </c>
    </row>
    <row r="2520" spans="1:1">
      <c r="A2520" s="19" t="s">
        <v>423</v>
      </c>
    </row>
    <row r="2522" spans="1:1">
      <c r="A2522" s="19" t="s">
        <v>424</v>
      </c>
    </row>
    <row r="2524" spans="1:1">
      <c r="A2524" s="22" t="s">
        <v>407</v>
      </c>
    </row>
    <row r="2526" spans="1:1">
      <c r="A2526" s="22">
        <v>2</v>
      </c>
    </row>
    <row r="2528" spans="1:1">
      <c r="A2528" s="19" t="s">
        <v>710</v>
      </c>
    </row>
    <row r="2530" spans="1:1">
      <c r="A2530" s="22" t="s">
        <v>133</v>
      </c>
    </row>
    <row r="2531" spans="1:1">
      <c r="A2531" s="22" t="s">
        <v>131</v>
      </c>
    </row>
    <row r="2532" spans="1:1">
      <c r="A2532" s="22" t="s">
        <v>389</v>
      </c>
    </row>
    <row r="2534" spans="1:1">
      <c r="A2534" s="19" t="s">
        <v>400</v>
      </c>
    </row>
    <row r="2536" spans="1:1">
      <c r="A2536" s="19" t="s">
        <v>402</v>
      </c>
    </row>
    <row r="2538" spans="1:1">
      <c r="A2538" s="22" t="s">
        <v>420</v>
      </c>
    </row>
    <row r="2540" spans="1:1">
      <c r="A2540" s="22" t="s">
        <v>711</v>
      </c>
    </row>
    <row r="2542" spans="1:1">
      <c r="A2542" s="22" t="s">
        <v>712</v>
      </c>
    </row>
    <row r="2544" spans="1:1">
      <c r="A2544" s="19" t="s">
        <v>406</v>
      </c>
    </row>
    <row r="2546" spans="1:1">
      <c r="A2546" s="22" t="s">
        <v>407</v>
      </c>
    </row>
    <row r="2548" spans="1:1">
      <c r="A2548" s="22">
        <v>2</v>
      </c>
    </row>
    <row r="2550" spans="1:1">
      <c r="A2550" s="22" t="s">
        <v>713</v>
      </c>
    </row>
    <row r="2552" spans="1:1">
      <c r="A2552" s="22" t="s">
        <v>485</v>
      </c>
    </row>
    <row r="2554" spans="1:1">
      <c r="A2554" s="19" t="s">
        <v>423</v>
      </c>
    </row>
    <row r="2556" spans="1:1">
      <c r="A2556" s="19" t="s">
        <v>424</v>
      </c>
    </row>
    <row r="2558" spans="1:1">
      <c r="A2558" s="22" t="s">
        <v>407</v>
      </c>
    </row>
    <row r="2560" spans="1:1">
      <c r="A2560" s="22">
        <v>2</v>
      </c>
    </row>
    <row r="2562" spans="1:1">
      <c r="A2562" s="22" t="s">
        <v>714</v>
      </c>
    </row>
    <row r="2564" spans="1:1">
      <c r="A2564" s="22" t="s">
        <v>715</v>
      </c>
    </row>
    <row r="2566" spans="1:1">
      <c r="A2566" s="19" t="s">
        <v>423</v>
      </c>
    </row>
    <row r="2568" spans="1:1">
      <c r="A2568" s="19" t="s">
        <v>424</v>
      </c>
    </row>
    <row r="2570" spans="1:1">
      <c r="A2570" s="22" t="s">
        <v>407</v>
      </c>
    </row>
    <row r="2572" spans="1:1">
      <c r="A2572" s="22">
        <v>3</v>
      </c>
    </row>
    <row r="2574" spans="1:1">
      <c r="A2574" s="22" t="s">
        <v>716</v>
      </c>
    </row>
    <row r="2576" spans="1:1">
      <c r="A2576" s="22" t="s">
        <v>717</v>
      </c>
    </row>
    <row r="2578" spans="1:1">
      <c r="A2578" s="19" t="s">
        <v>423</v>
      </c>
    </row>
    <row r="2580" spans="1:1">
      <c r="A2580" s="19" t="s">
        <v>424</v>
      </c>
    </row>
    <row r="2582" spans="1:1">
      <c r="A2582" s="22" t="s">
        <v>407</v>
      </c>
    </row>
    <row r="2584" spans="1:1">
      <c r="A2584" s="22">
        <v>2</v>
      </c>
    </row>
    <row r="2586" spans="1:1">
      <c r="A2586" s="22" t="s">
        <v>718</v>
      </c>
    </row>
    <row r="2588" spans="1:1">
      <c r="A2588" s="22" t="s">
        <v>548</v>
      </c>
    </row>
    <row r="2590" spans="1:1">
      <c r="A2590" s="19" t="s">
        <v>423</v>
      </c>
    </row>
    <row r="2592" spans="1:1">
      <c r="A2592" s="19" t="s">
        <v>424</v>
      </c>
    </row>
    <row r="2594" spans="1:1">
      <c r="A2594" s="22" t="s">
        <v>407</v>
      </c>
    </row>
    <row r="2596" spans="1:1">
      <c r="A2596" s="22">
        <v>2</v>
      </c>
    </row>
    <row r="2598" spans="1:1">
      <c r="A2598" s="22" t="s">
        <v>719</v>
      </c>
    </row>
    <row r="2600" spans="1:1">
      <c r="A2600" s="22" t="s">
        <v>720</v>
      </c>
    </row>
    <row r="2602" spans="1:1">
      <c r="A2602" s="19" t="s">
        <v>423</v>
      </c>
    </row>
    <row r="2604" spans="1:1">
      <c r="A2604" s="19" t="s">
        <v>424</v>
      </c>
    </row>
    <row r="2606" spans="1:1">
      <c r="A2606" s="22" t="s">
        <v>407</v>
      </c>
    </row>
    <row r="2608" spans="1:1">
      <c r="A2608" s="22">
        <v>2</v>
      </c>
    </row>
    <row r="2610" spans="1:1">
      <c r="A2610" s="22" t="s">
        <v>721</v>
      </c>
    </row>
    <row r="2612" spans="1:1">
      <c r="A2612" s="22" t="s">
        <v>538</v>
      </c>
    </row>
    <row r="2614" spans="1:1">
      <c r="A2614" s="19" t="s">
        <v>423</v>
      </c>
    </row>
    <row r="2616" spans="1:1">
      <c r="A2616" s="19" t="s">
        <v>424</v>
      </c>
    </row>
    <row r="2618" spans="1:1">
      <c r="A2618" s="22" t="s">
        <v>407</v>
      </c>
    </row>
    <row r="2620" spans="1:1">
      <c r="A2620" s="22">
        <v>2</v>
      </c>
    </row>
    <row r="2622" spans="1:1">
      <c r="A2622" s="22" t="s">
        <v>722</v>
      </c>
    </row>
    <row r="2624" spans="1:1">
      <c r="A2624" s="22" t="s">
        <v>428</v>
      </c>
    </row>
    <row r="2626" spans="1:1">
      <c r="A2626" s="19" t="s">
        <v>423</v>
      </c>
    </row>
    <row r="2628" spans="1:1">
      <c r="A2628" s="19" t="s">
        <v>424</v>
      </c>
    </row>
    <row r="2630" spans="1:1">
      <c r="A2630" s="22" t="s">
        <v>407</v>
      </c>
    </row>
    <row r="2632" spans="1:1">
      <c r="A2632" s="22">
        <v>2</v>
      </c>
    </row>
    <row r="2634" spans="1:1">
      <c r="A2634" s="19" t="s">
        <v>723</v>
      </c>
    </row>
    <row r="2636" spans="1:1">
      <c r="A2636" s="22" t="s">
        <v>133</v>
      </c>
    </row>
    <row r="2637" spans="1:1">
      <c r="A2637" s="22" t="s">
        <v>131</v>
      </c>
    </row>
    <row r="2638" spans="1:1">
      <c r="A2638" s="22" t="s">
        <v>389</v>
      </c>
    </row>
    <row r="2640" spans="1:1">
      <c r="A2640" s="19" t="s">
        <v>400</v>
      </c>
    </row>
    <row r="2642" spans="1:1">
      <c r="A2642" s="19" t="s">
        <v>402</v>
      </c>
    </row>
    <row r="2644" spans="1:1">
      <c r="A2644" s="22" t="s">
        <v>420</v>
      </c>
    </row>
    <row r="2646" spans="1:1">
      <c r="A2646" s="22" t="s">
        <v>724</v>
      </c>
    </row>
    <row r="2648" spans="1:1">
      <c r="A2648" s="22" t="s">
        <v>471</v>
      </c>
    </row>
    <row r="2650" spans="1:1">
      <c r="A2650" s="19" t="s">
        <v>406</v>
      </c>
    </row>
    <row r="2652" spans="1:1">
      <c r="A2652" s="22" t="s">
        <v>407</v>
      </c>
    </row>
    <row r="2654" spans="1:1">
      <c r="A2654" s="22">
        <v>2</v>
      </c>
    </row>
    <row r="2656" spans="1:1">
      <c r="A2656" s="22" t="s">
        <v>725</v>
      </c>
    </row>
    <row r="2658" spans="1:1">
      <c r="A2658" s="22" t="s">
        <v>726</v>
      </c>
    </row>
    <row r="2660" spans="1:1">
      <c r="A2660" s="19" t="s">
        <v>423</v>
      </c>
    </row>
    <row r="2662" spans="1:1">
      <c r="A2662" s="19" t="s">
        <v>424</v>
      </c>
    </row>
    <row r="2664" spans="1:1">
      <c r="A2664" s="22" t="s">
        <v>407</v>
      </c>
    </row>
    <row r="2666" spans="1:1">
      <c r="A2666" s="22">
        <v>2</v>
      </c>
    </row>
    <row r="2668" spans="1:1">
      <c r="A2668" s="22" t="s">
        <v>727</v>
      </c>
    </row>
    <row r="2670" spans="1:1">
      <c r="A2670" s="22" t="s">
        <v>728</v>
      </c>
    </row>
    <row r="2672" spans="1:1">
      <c r="A2672" s="19" t="s">
        <v>423</v>
      </c>
    </row>
    <row r="2674" spans="1:1">
      <c r="A2674" s="19" t="s">
        <v>424</v>
      </c>
    </row>
    <row r="2676" spans="1:1">
      <c r="A2676" s="22" t="s">
        <v>407</v>
      </c>
    </row>
    <row r="2678" spans="1:1">
      <c r="A2678" s="22">
        <v>2</v>
      </c>
    </row>
    <row r="2680" spans="1:1">
      <c r="A2680" s="22" t="s">
        <v>729</v>
      </c>
    </row>
    <row r="2682" spans="1:1">
      <c r="A2682" s="22" t="s">
        <v>456</v>
      </c>
    </row>
    <row r="2684" spans="1:1">
      <c r="A2684" s="19" t="s">
        <v>423</v>
      </c>
    </row>
    <row r="2686" spans="1:1">
      <c r="A2686" s="19" t="s">
        <v>424</v>
      </c>
    </row>
    <row r="2688" spans="1:1">
      <c r="A2688" s="22" t="s">
        <v>407</v>
      </c>
    </row>
    <row r="2690" spans="1:1">
      <c r="A2690" s="22">
        <v>2</v>
      </c>
    </row>
    <row r="2692" spans="1:1">
      <c r="A2692" s="22" t="s">
        <v>730</v>
      </c>
    </row>
    <row r="2694" spans="1:1">
      <c r="A2694" s="22" t="s">
        <v>418</v>
      </c>
    </row>
    <row r="2696" spans="1:1">
      <c r="A2696" s="19" t="s">
        <v>423</v>
      </c>
    </row>
    <row r="2698" spans="1:1">
      <c r="A2698" s="19" t="s">
        <v>424</v>
      </c>
    </row>
    <row r="2700" spans="1:1">
      <c r="A2700" s="22" t="s">
        <v>407</v>
      </c>
    </row>
    <row r="2702" spans="1:1">
      <c r="A2702" s="22">
        <v>2</v>
      </c>
    </row>
    <row r="2704" spans="1:1">
      <c r="A2704" s="22" t="s">
        <v>731</v>
      </c>
    </row>
    <row r="2706" spans="1:1">
      <c r="A2706" s="22" t="s">
        <v>418</v>
      </c>
    </row>
    <row r="2708" spans="1:1">
      <c r="A2708" s="19" t="s">
        <v>423</v>
      </c>
    </row>
    <row r="2710" spans="1:1">
      <c r="A2710" s="19" t="s">
        <v>424</v>
      </c>
    </row>
    <row r="2712" spans="1:1">
      <c r="A2712" s="22" t="s">
        <v>407</v>
      </c>
    </row>
    <row r="2714" spans="1:1">
      <c r="A2714" s="22">
        <v>2</v>
      </c>
    </row>
    <row r="2716" spans="1:1">
      <c r="A2716" s="22" t="s">
        <v>732</v>
      </c>
    </row>
    <row r="2718" spans="1:1">
      <c r="A2718" s="22" t="s">
        <v>733</v>
      </c>
    </row>
    <row r="2720" spans="1:1">
      <c r="A2720" s="19" t="s">
        <v>423</v>
      </c>
    </row>
    <row r="2722" spans="1:1">
      <c r="A2722" s="19" t="s">
        <v>424</v>
      </c>
    </row>
    <row r="2724" spans="1:1">
      <c r="A2724" s="22" t="s">
        <v>407</v>
      </c>
    </row>
    <row r="2726" spans="1:1">
      <c r="A2726" s="22">
        <v>2</v>
      </c>
    </row>
    <row r="2728" spans="1:1">
      <c r="A2728" s="22" t="s">
        <v>734</v>
      </c>
    </row>
    <row r="2730" spans="1:1">
      <c r="A2730" s="22" t="s">
        <v>735</v>
      </c>
    </row>
    <row r="2732" spans="1:1">
      <c r="A2732" s="19" t="s">
        <v>423</v>
      </c>
    </row>
    <row r="2734" spans="1:1">
      <c r="A2734" s="19" t="s">
        <v>424</v>
      </c>
    </row>
    <row r="2736" spans="1:1">
      <c r="A2736" s="22" t="s">
        <v>407</v>
      </c>
    </row>
    <row r="2738" spans="1:1">
      <c r="A2738" s="22">
        <v>2</v>
      </c>
    </row>
    <row r="2740" spans="1:1">
      <c r="A2740" s="19" t="s">
        <v>736</v>
      </c>
    </row>
    <row r="2742" spans="1:1">
      <c r="A2742" s="22" t="s">
        <v>133</v>
      </c>
    </row>
    <row r="2743" spans="1:1">
      <c r="A2743" s="22" t="s">
        <v>131</v>
      </c>
    </row>
    <row r="2744" spans="1:1">
      <c r="A2744" s="22" t="s">
        <v>389</v>
      </c>
    </row>
    <row r="2746" spans="1:1">
      <c r="A2746" s="19" t="s">
        <v>400</v>
      </c>
    </row>
    <row r="2748" spans="1:1">
      <c r="A2748" s="19" t="s">
        <v>402</v>
      </c>
    </row>
    <row r="2750" spans="1:1">
      <c r="A2750" s="22" t="s">
        <v>420</v>
      </c>
    </row>
    <row r="2752" spans="1:1">
      <c r="A2752" s="22" t="s">
        <v>737</v>
      </c>
    </row>
    <row r="2754" spans="1:1">
      <c r="A2754" s="22" t="s">
        <v>738</v>
      </c>
    </row>
    <row r="2756" spans="1:1">
      <c r="A2756" s="19" t="s">
        <v>406</v>
      </c>
    </row>
    <row r="2758" spans="1:1">
      <c r="A2758" s="22" t="s">
        <v>407</v>
      </c>
    </row>
    <row r="2760" spans="1:1">
      <c r="A2760" s="22">
        <v>2</v>
      </c>
    </row>
    <row r="2762" spans="1:1">
      <c r="A2762" s="22" t="s">
        <v>739</v>
      </c>
    </row>
    <row r="2764" spans="1:1">
      <c r="A2764" s="22" t="s">
        <v>650</v>
      </c>
    </row>
    <row r="2766" spans="1:1">
      <c r="A2766" s="19" t="s">
        <v>423</v>
      </c>
    </row>
    <row r="2768" spans="1:1">
      <c r="A2768" s="19" t="s">
        <v>424</v>
      </c>
    </row>
    <row r="2770" spans="1:1">
      <c r="A2770" s="22" t="s">
        <v>407</v>
      </c>
    </row>
    <row r="2772" spans="1:1">
      <c r="A2772" s="22">
        <v>6</v>
      </c>
    </row>
    <row r="2774" spans="1:1">
      <c r="A2774" s="22" t="s">
        <v>740</v>
      </c>
    </row>
    <row r="2776" spans="1:1">
      <c r="A2776" s="22" t="s">
        <v>741</v>
      </c>
    </row>
    <row r="2778" spans="1:1">
      <c r="A2778" s="19" t="s">
        <v>423</v>
      </c>
    </row>
    <row r="2780" spans="1:1">
      <c r="A2780" s="19" t="s">
        <v>424</v>
      </c>
    </row>
    <row r="2782" spans="1:1">
      <c r="A2782" s="22" t="s">
        <v>407</v>
      </c>
    </row>
    <row r="2784" spans="1:1">
      <c r="A2784" s="22">
        <v>3</v>
      </c>
    </row>
    <row r="2786" spans="1:1">
      <c r="A2786" s="22" t="s">
        <v>742</v>
      </c>
    </row>
    <row r="2788" spans="1:1">
      <c r="A2788" s="22" t="s">
        <v>550</v>
      </c>
    </row>
    <row r="2790" spans="1:1">
      <c r="A2790" s="19" t="s">
        <v>423</v>
      </c>
    </row>
    <row r="2792" spans="1:1">
      <c r="A2792" s="19" t="s">
        <v>424</v>
      </c>
    </row>
    <row r="2794" spans="1:1">
      <c r="A2794" s="22" t="s">
        <v>407</v>
      </c>
    </row>
    <row r="2796" spans="1:1">
      <c r="A2796" s="22">
        <v>2</v>
      </c>
    </row>
    <row r="2798" spans="1:1">
      <c r="A2798" s="22" t="s">
        <v>743</v>
      </c>
    </row>
    <row r="2800" spans="1:1">
      <c r="A2800" s="22" t="s">
        <v>538</v>
      </c>
    </row>
    <row r="2802" spans="1:1">
      <c r="A2802" s="19" t="s">
        <v>423</v>
      </c>
    </row>
    <row r="2804" spans="1:1">
      <c r="A2804" s="19" t="s">
        <v>424</v>
      </c>
    </row>
    <row r="2806" spans="1:1">
      <c r="A2806" s="22" t="s">
        <v>407</v>
      </c>
    </row>
    <row r="2808" spans="1:1">
      <c r="A2808" s="22">
        <v>2</v>
      </c>
    </row>
    <row r="2810" spans="1:1">
      <c r="A2810" s="22" t="s">
        <v>744</v>
      </c>
    </row>
    <row r="2812" spans="1:1">
      <c r="A2812" s="22" t="s">
        <v>745</v>
      </c>
    </row>
    <row r="2814" spans="1:1">
      <c r="A2814" s="19" t="s">
        <v>423</v>
      </c>
    </row>
    <row r="2816" spans="1:1">
      <c r="A2816" s="19" t="s">
        <v>424</v>
      </c>
    </row>
    <row r="2818" spans="1:1">
      <c r="A2818" s="22" t="s">
        <v>407</v>
      </c>
    </row>
    <row r="2820" spans="1:1">
      <c r="A2820" s="22">
        <v>2</v>
      </c>
    </row>
    <row r="2822" spans="1:1">
      <c r="A2822" s="22" t="s">
        <v>746</v>
      </c>
    </row>
    <row r="2824" spans="1:1">
      <c r="A2824" s="22" t="s">
        <v>747</v>
      </c>
    </row>
    <row r="2826" spans="1:1">
      <c r="A2826" s="19" t="s">
        <v>423</v>
      </c>
    </row>
    <row r="2828" spans="1:1">
      <c r="A2828" s="19" t="s">
        <v>424</v>
      </c>
    </row>
    <row r="2830" spans="1:1">
      <c r="A2830" s="22" t="s">
        <v>407</v>
      </c>
    </row>
    <row r="2832" spans="1:1">
      <c r="A2832" s="22">
        <v>3</v>
      </c>
    </row>
    <row r="2834" spans="1:1">
      <c r="A2834" s="22" t="s">
        <v>748</v>
      </c>
    </row>
    <row r="2836" spans="1:1">
      <c r="A2836" s="22" t="s">
        <v>652</v>
      </c>
    </row>
    <row r="2838" spans="1:1">
      <c r="A2838" s="19" t="s">
        <v>423</v>
      </c>
    </row>
    <row r="2840" spans="1:1">
      <c r="A2840" s="19" t="s">
        <v>424</v>
      </c>
    </row>
    <row r="2842" spans="1:1">
      <c r="A2842" s="22" t="s">
        <v>407</v>
      </c>
    </row>
    <row r="2844" spans="1:1">
      <c r="A2844" s="22">
        <v>2</v>
      </c>
    </row>
    <row r="2846" spans="1:1">
      <c r="A2846" s="19" t="s">
        <v>749</v>
      </c>
    </row>
    <row r="2848" spans="1:1">
      <c r="A2848" s="22" t="s">
        <v>133</v>
      </c>
    </row>
    <row r="2849" spans="1:1">
      <c r="A2849" s="22" t="s">
        <v>131</v>
      </c>
    </row>
    <row r="2850" spans="1:1">
      <c r="A2850" s="22" t="s">
        <v>389</v>
      </c>
    </row>
    <row r="2852" spans="1:1">
      <c r="A2852" s="19" t="s">
        <v>400</v>
      </c>
    </row>
    <row r="2854" spans="1:1">
      <c r="A2854" s="19" t="s">
        <v>402</v>
      </c>
    </row>
    <row r="2856" spans="1:1">
      <c r="A2856" s="22" t="s">
        <v>420</v>
      </c>
    </row>
    <row r="2858" spans="1:1">
      <c r="A2858" s="22" t="s">
        <v>750</v>
      </c>
    </row>
    <row r="2860" spans="1:1">
      <c r="A2860" s="22" t="s">
        <v>504</v>
      </c>
    </row>
    <row r="2862" spans="1:1">
      <c r="A2862" s="19" t="s">
        <v>406</v>
      </c>
    </row>
    <row r="2864" spans="1:1">
      <c r="A2864" s="22" t="s">
        <v>407</v>
      </c>
    </row>
    <row r="2866" spans="1:1">
      <c r="A2866" s="22">
        <v>2</v>
      </c>
    </row>
    <row r="2868" spans="1:1">
      <c r="A2868" s="22" t="s">
        <v>751</v>
      </c>
    </row>
    <row r="2870" spans="1:1">
      <c r="A2870" s="22" t="s">
        <v>582</v>
      </c>
    </row>
    <row r="2872" spans="1:1">
      <c r="A2872" s="19" t="s">
        <v>423</v>
      </c>
    </row>
    <row r="2874" spans="1:1">
      <c r="A2874" s="19" t="s">
        <v>424</v>
      </c>
    </row>
    <row r="2876" spans="1:1">
      <c r="A2876" s="22" t="s">
        <v>407</v>
      </c>
    </row>
    <row r="2878" spans="1:1">
      <c r="A2878" s="22">
        <v>2</v>
      </c>
    </row>
    <row r="2880" spans="1:1">
      <c r="A2880" s="22" t="s">
        <v>752</v>
      </c>
    </row>
    <row r="2882" spans="1:1">
      <c r="A2882" s="22" t="s">
        <v>595</v>
      </c>
    </row>
    <row r="2884" spans="1:1">
      <c r="A2884" s="19" t="s">
        <v>423</v>
      </c>
    </row>
    <row r="2886" spans="1:1">
      <c r="A2886" s="19" t="s">
        <v>424</v>
      </c>
    </row>
    <row r="2888" spans="1:1">
      <c r="A2888" s="22" t="s">
        <v>407</v>
      </c>
    </row>
    <row r="2890" spans="1:1">
      <c r="A2890" s="22">
        <v>4</v>
      </c>
    </row>
    <row r="2892" spans="1:1">
      <c r="A2892" s="22" t="s">
        <v>753</v>
      </c>
    </row>
    <row r="2894" spans="1:1">
      <c r="A2894" s="22" t="s">
        <v>416</v>
      </c>
    </row>
    <row r="2896" spans="1:1">
      <c r="A2896" s="19" t="s">
        <v>423</v>
      </c>
    </row>
    <row r="2898" spans="1:1">
      <c r="A2898" s="19" t="s">
        <v>424</v>
      </c>
    </row>
    <row r="2900" spans="1:1">
      <c r="A2900" s="22" t="s">
        <v>407</v>
      </c>
    </row>
    <row r="2902" spans="1:1">
      <c r="A2902" s="22">
        <v>3</v>
      </c>
    </row>
    <row r="2904" spans="1:1">
      <c r="A2904" s="22" t="s">
        <v>754</v>
      </c>
    </row>
    <row r="2906" spans="1:1">
      <c r="A2906" s="22" t="s">
        <v>755</v>
      </c>
    </row>
    <row r="2908" spans="1:1">
      <c r="A2908" s="19" t="s">
        <v>423</v>
      </c>
    </row>
    <row r="2910" spans="1:1">
      <c r="A2910" s="19" t="s">
        <v>424</v>
      </c>
    </row>
    <row r="2912" spans="1:1">
      <c r="A2912" s="22" t="s">
        <v>407</v>
      </c>
    </row>
    <row r="2914" spans="1:1">
      <c r="A2914" s="22">
        <v>3</v>
      </c>
    </row>
    <row r="2916" spans="1:1">
      <c r="A2916" s="22" t="s">
        <v>756</v>
      </c>
    </row>
    <row r="2918" spans="1:1">
      <c r="A2918" s="22" t="s">
        <v>428</v>
      </c>
    </row>
    <row r="2920" spans="1:1">
      <c r="A2920" s="19" t="s">
        <v>423</v>
      </c>
    </row>
    <row r="2922" spans="1:1">
      <c r="A2922" s="19" t="s">
        <v>424</v>
      </c>
    </row>
    <row r="2924" spans="1:1">
      <c r="A2924" s="22" t="s">
        <v>407</v>
      </c>
    </row>
    <row r="2926" spans="1:1">
      <c r="A2926" s="22">
        <v>1</v>
      </c>
    </row>
    <row r="2928" spans="1:1">
      <c r="A2928" s="22" t="s">
        <v>757</v>
      </c>
    </row>
    <row r="2930" spans="1:1">
      <c r="A2930" s="22" t="s">
        <v>418</v>
      </c>
    </row>
    <row r="2932" spans="1:1">
      <c r="A2932" s="19" t="s">
        <v>423</v>
      </c>
    </row>
    <row r="2934" spans="1:1">
      <c r="A2934" s="19" t="s">
        <v>424</v>
      </c>
    </row>
    <row r="2936" spans="1:1">
      <c r="A2936" s="22" t="s">
        <v>407</v>
      </c>
    </row>
    <row r="2938" spans="1:1">
      <c r="A2938" s="22">
        <v>2</v>
      </c>
    </row>
    <row r="2940" spans="1:1">
      <c r="A2940" s="22" t="s">
        <v>758</v>
      </c>
    </row>
    <row r="2942" spans="1:1">
      <c r="A2942" s="22" t="s">
        <v>422</v>
      </c>
    </row>
    <row r="2944" spans="1:1">
      <c r="A2944" s="19" t="s">
        <v>423</v>
      </c>
    </row>
    <row r="2946" spans="1:1">
      <c r="A2946" s="19" t="s">
        <v>424</v>
      </c>
    </row>
    <row r="2948" spans="1:1">
      <c r="A2948" s="22" t="s">
        <v>407</v>
      </c>
    </row>
    <row r="2950" spans="1:1">
      <c r="A2950" s="22">
        <v>1</v>
      </c>
    </row>
    <row r="2952" spans="1:1">
      <c r="A2952" s="19" t="s">
        <v>759</v>
      </c>
    </row>
    <row r="2954" spans="1:1">
      <c r="A2954" s="22" t="s">
        <v>133</v>
      </c>
    </row>
    <row r="2955" spans="1:1">
      <c r="A2955" s="22" t="s">
        <v>131</v>
      </c>
    </row>
    <row r="2956" spans="1:1">
      <c r="A2956" s="22" t="s">
        <v>389</v>
      </c>
    </row>
    <row r="2958" spans="1:1">
      <c r="A2958" s="19" t="s">
        <v>400</v>
      </c>
    </row>
    <row r="2960" spans="1:1">
      <c r="A2960" s="19" t="s">
        <v>402</v>
      </c>
    </row>
    <row r="2962" spans="1:1">
      <c r="A2962" s="22" t="s">
        <v>420</v>
      </c>
    </row>
    <row r="2964" spans="1:1">
      <c r="A2964" s="22" t="s">
        <v>760</v>
      </c>
    </row>
    <row r="2966" spans="1:1">
      <c r="A2966" s="22" t="s">
        <v>432</v>
      </c>
    </row>
    <row r="2968" spans="1:1">
      <c r="A2968" s="19" t="s">
        <v>406</v>
      </c>
    </row>
    <row r="2970" spans="1:1">
      <c r="A2970" s="22" t="s">
        <v>407</v>
      </c>
    </row>
    <row r="2972" spans="1:1">
      <c r="A2972" s="22">
        <v>2</v>
      </c>
    </row>
    <row r="2974" spans="1:1">
      <c r="A2974" s="22" t="s">
        <v>761</v>
      </c>
    </row>
    <row r="2976" spans="1:1">
      <c r="A2976" s="22" t="s">
        <v>762</v>
      </c>
    </row>
    <row r="2978" spans="1:1">
      <c r="A2978" s="19" t="s">
        <v>423</v>
      </c>
    </row>
    <row r="2980" spans="1:1">
      <c r="A2980" s="19" t="s">
        <v>424</v>
      </c>
    </row>
    <row r="2982" spans="1:1">
      <c r="A2982" s="22" t="s">
        <v>407</v>
      </c>
    </row>
    <row r="2984" spans="1:1">
      <c r="A2984" s="22">
        <v>2</v>
      </c>
    </row>
    <row r="2986" spans="1:1">
      <c r="A2986" s="22" t="s">
        <v>763</v>
      </c>
    </row>
    <row r="2988" spans="1:1">
      <c r="A2988" s="22" t="s">
        <v>764</v>
      </c>
    </row>
    <row r="2990" spans="1:1">
      <c r="A2990" s="19" t="s">
        <v>423</v>
      </c>
    </row>
    <row r="2992" spans="1:1">
      <c r="A2992" s="19" t="s">
        <v>424</v>
      </c>
    </row>
    <row r="2994" spans="1:1">
      <c r="A2994" s="22" t="s">
        <v>407</v>
      </c>
    </row>
    <row r="2996" spans="1:1">
      <c r="A2996" s="22">
        <v>2</v>
      </c>
    </row>
    <row r="2998" spans="1:1">
      <c r="A2998" s="22" t="s">
        <v>765</v>
      </c>
    </row>
    <row r="3000" spans="1:1">
      <c r="A3000" s="22" t="s">
        <v>446</v>
      </c>
    </row>
    <row r="3002" spans="1:1">
      <c r="A3002" s="19" t="s">
        <v>423</v>
      </c>
    </row>
    <row r="3004" spans="1:1">
      <c r="A3004" s="19" t="s">
        <v>424</v>
      </c>
    </row>
    <row r="3006" spans="1:1">
      <c r="A3006" s="22" t="s">
        <v>407</v>
      </c>
    </row>
    <row r="3008" spans="1:1">
      <c r="A3008" s="22">
        <v>2</v>
      </c>
    </row>
    <row r="3010" spans="1:1">
      <c r="A3010" s="22" t="s">
        <v>766</v>
      </c>
    </row>
    <row r="3012" spans="1:1">
      <c r="A3012" s="22" t="s">
        <v>650</v>
      </c>
    </row>
    <row r="3014" spans="1:1">
      <c r="A3014" s="19" t="s">
        <v>423</v>
      </c>
    </row>
    <row r="3016" spans="1:1">
      <c r="A3016" s="19" t="s">
        <v>424</v>
      </c>
    </row>
    <row r="3018" spans="1:1">
      <c r="A3018" s="22" t="s">
        <v>407</v>
      </c>
    </row>
    <row r="3020" spans="1:1">
      <c r="A3020" s="22">
        <v>6</v>
      </c>
    </row>
    <row r="3022" spans="1:1">
      <c r="A3022" s="22" t="s">
        <v>767</v>
      </c>
    </row>
    <row r="3024" spans="1:1">
      <c r="A3024" s="22" t="s">
        <v>768</v>
      </c>
    </row>
    <row r="3026" spans="1:1">
      <c r="A3026" s="19" t="s">
        <v>423</v>
      </c>
    </row>
    <row r="3028" spans="1:1">
      <c r="A3028" s="19" t="s">
        <v>424</v>
      </c>
    </row>
    <row r="3030" spans="1:1">
      <c r="A3030" s="22" t="s">
        <v>407</v>
      </c>
    </row>
    <row r="3032" spans="1:1">
      <c r="A3032" s="22">
        <v>2</v>
      </c>
    </row>
    <row r="3034" spans="1:1">
      <c r="A3034" s="22" t="s">
        <v>769</v>
      </c>
    </row>
    <row r="3036" spans="1:1">
      <c r="A3036" s="22" t="s">
        <v>770</v>
      </c>
    </row>
    <row r="3038" spans="1:1">
      <c r="A3038" s="19" t="s">
        <v>423</v>
      </c>
    </row>
    <row r="3040" spans="1:1">
      <c r="A3040" s="19" t="s">
        <v>424</v>
      </c>
    </row>
    <row r="3042" spans="1:1">
      <c r="A3042" s="22" t="s">
        <v>407</v>
      </c>
    </row>
    <row r="3044" spans="1:1">
      <c r="A3044" s="22">
        <v>2</v>
      </c>
    </row>
    <row r="3046" spans="1:1">
      <c r="A3046" s="22" t="s">
        <v>771</v>
      </c>
    </row>
    <row r="3048" spans="1:1">
      <c r="A3048" s="22" t="s">
        <v>446</v>
      </c>
    </row>
    <row r="3050" spans="1:1">
      <c r="A3050" s="19" t="s">
        <v>423</v>
      </c>
    </row>
    <row r="3052" spans="1:1">
      <c r="A3052" s="19" t="s">
        <v>424</v>
      </c>
    </row>
    <row r="3054" spans="1:1">
      <c r="A3054" s="22" t="s">
        <v>407</v>
      </c>
    </row>
    <row r="3056" spans="1:1">
      <c r="A3056" s="22">
        <v>2</v>
      </c>
    </row>
    <row r="3058" spans="1:1">
      <c r="A3058" s="19" t="s">
        <v>772</v>
      </c>
    </row>
    <row r="3060" spans="1:1">
      <c r="A3060" s="22" t="s">
        <v>133</v>
      </c>
    </row>
    <row r="3061" spans="1:1">
      <c r="A3061" s="22" t="s">
        <v>131</v>
      </c>
    </row>
    <row r="3062" spans="1:1">
      <c r="A3062" s="22" t="s">
        <v>389</v>
      </c>
    </row>
    <row r="3064" spans="1:1">
      <c r="A3064" s="19" t="s">
        <v>400</v>
      </c>
    </row>
    <row r="3066" spans="1:1">
      <c r="A3066" s="19" t="s">
        <v>402</v>
      </c>
    </row>
    <row r="3068" spans="1:1">
      <c r="A3068" s="22" t="s">
        <v>420</v>
      </c>
    </row>
    <row r="3070" spans="1:1">
      <c r="A3070" s="22" t="s">
        <v>773</v>
      </c>
    </row>
    <row r="3072" spans="1:1">
      <c r="A3072" s="22" t="s">
        <v>409</v>
      </c>
    </row>
    <row r="3074" spans="1:1">
      <c r="A3074" s="19" t="s">
        <v>406</v>
      </c>
    </row>
    <row r="3076" spans="1:1">
      <c r="A3076" s="22" t="s">
        <v>407</v>
      </c>
    </row>
    <row r="3078" spans="1:1">
      <c r="A3078" s="22">
        <v>2</v>
      </c>
    </row>
    <row r="3080" spans="1:1">
      <c r="A3080" s="22" t="s">
        <v>774</v>
      </c>
    </row>
    <row r="3082" spans="1:1">
      <c r="A3082" s="22" t="s">
        <v>775</v>
      </c>
    </row>
    <row r="3084" spans="1:1">
      <c r="A3084" s="19" t="s">
        <v>423</v>
      </c>
    </row>
    <row r="3086" spans="1:1">
      <c r="A3086" s="19" t="s">
        <v>424</v>
      </c>
    </row>
    <row r="3088" spans="1:1">
      <c r="A3088" s="22" t="s">
        <v>407</v>
      </c>
    </row>
    <row r="3090" spans="1:1">
      <c r="A3090" s="22">
        <v>2</v>
      </c>
    </row>
    <row r="3092" spans="1:1">
      <c r="A3092" s="22" t="s">
        <v>776</v>
      </c>
    </row>
    <row r="3094" spans="1:1">
      <c r="A3094" s="22" t="s">
        <v>777</v>
      </c>
    </row>
    <row r="3096" spans="1:1">
      <c r="A3096" s="19" t="s">
        <v>423</v>
      </c>
    </row>
    <row r="3098" spans="1:1">
      <c r="A3098" s="19" t="s">
        <v>424</v>
      </c>
    </row>
    <row r="3100" spans="1:1">
      <c r="A3100" s="22" t="s">
        <v>407</v>
      </c>
    </row>
    <row r="3102" spans="1:1">
      <c r="A3102" s="22">
        <v>2</v>
      </c>
    </row>
    <row r="3104" spans="1:1">
      <c r="A3104" s="22" t="s">
        <v>778</v>
      </c>
    </row>
    <row r="3106" spans="1:1">
      <c r="A3106" s="22" t="s">
        <v>405</v>
      </c>
    </row>
    <row r="3108" spans="1:1">
      <c r="A3108" s="19" t="s">
        <v>423</v>
      </c>
    </row>
    <row r="3110" spans="1:1">
      <c r="A3110" s="19" t="s">
        <v>424</v>
      </c>
    </row>
    <row r="3112" spans="1:1">
      <c r="A3112" s="22" t="s">
        <v>407</v>
      </c>
    </row>
    <row r="3114" spans="1:1">
      <c r="A3114" s="22">
        <v>2</v>
      </c>
    </row>
    <row r="3116" spans="1:1">
      <c r="A3116" s="22" t="s">
        <v>779</v>
      </c>
    </row>
    <row r="3118" spans="1:1">
      <c r="A3118" s="22" t="s">
        <v>780</v>
      </c>
    </row>
    <row r="3120" spans="1:1">
      <c r="A3120" s="19" t="s">
        <v>423</v>
      </c>
    </row>
    <row r="3122" spans="1:1">
      <c r="A3122" s="19" t="s">
        <v>424</v>
      </c>
    </row>
    <row r="3124" spans="1:1">
      <c r="A3124" s="22" t="s">
        <v>407</v>
      </c>
    </row>
    <row r="3126" spans="1:1">
      <c r="A3126" s="22">
        <v>2</v>
      </c>
    </row>
    <row r="3128" spans="1:1">
      <c r="A3128" s="22" t="s">
        <v>781</v>
      </c>
    </row>
    <row r="3130" spans="1:1">
      <c r="A3130" s="22" t="s">
        <v>584</v>
      </c>
    </row>
    <row r="3132" spans="1:1">
      <c r="A3132" s="19" t="s">
        <v>423</v>
      </c>
    </row>
    <row r="3134" spans="1:1">
      <c r="A3134" s="19" t="s">
        <v>424</v>
      </c>
    </row>
    <row r="3136" spans="1:1">
      <c r="A3136" s="22" t="s">
        <v>407</v>
      </c>
    </row>
    <row r="3138" spans="1:1">
      <c r="A3138" s="22">
        <v>2</v>
      </c>
    </row>
    <row r="3140" spans="1:1">
      <c r="A3140" s="22" t="s">
        <v>782</v>
      </c>
    </row>
    <row r="3142" spans="1:1">
      <c r="A3142" s="22" t="s">
        <v>430</v>
      </c>
    </row>
    <row r="3144" spans="1:1">
      <c r="A3144" s="19" t="s">
        <v>423</v>
      </c>
    </row>
    <row r="3146" spans="1:1">
      <c r="A3146" s="19" t="s">
        <v>424</v>
      </c>
    </row>
    <row r="3148" spans="1:1">
      <c r="A3148" s="22" t="s">
        <v>407</v>
      </c>
    </row>
    <row r="3150" spans="1:1">
      <c r="A3150" s="22">
        <v>2</v>
      </c>
    </row>
    <row r="3152" spans="1:1">
      <c r="A3152" s="22" t="s">
        <v>783</v>
      </c>
    </row>
    <row r="3154" spans="1:1">
      <c r="A3154" s="22" t="s">
        <v>630</v>
      </c>
    </row>
    <row r="3156" spans="1:1">
      <c r="A3156" s="19" t="s">
        <v>423</v>
      </c>
    </row>
    <row r="3158" spans="1:1">
      <c r="A3158" s="19" t="s">
        <v>424</v>
      </c>
    </row>
    <row r="3160" spans="1:1">
      <c r="A3160" s="22" t="s">
        <v>407</v>
      </c>
    </row>
    <row r="3162" spans="1:1">
      <c r="A3162" s="22">
        <v>2</v>
      </c>
    </row>
    <row r="3164" spans="1:1">
      <c r="A3164" s="19" t="s">
        <v>784</v>
      </c>
    </row>
    <row r="3166" spans="1:1">
      <c r="A3166" s="22" t="s">
        <v>133</v>
      </c>
    </row>
    <row r="3167" spans="1:1">
      <c r="A3167" s="22" t="s">
        <v>131</v>
      </c>
    </row>
    <row r="3168" spans="1:1">
      <c r="A3168" s="22" t="s">
        <v>389</v>
      </c>
    </row>
    <row r="3170" spans="1:1">
      <c r="A3170" s="19" t="s">
        <v>400</v>
      </c>
    </row>
    <row r="3172" spans="1:1">
      <c r="A3172" s="19" t="s">
        <v>402</v>
      </c>
    </row>
    <row r="3174" spans="1:1">
      <c r="A3174" s="22" t="s">
        <v>420</v>
      </c>
    </row>
    <row r="3176" spans="1:1">
      <c r="A3176" s="22" t="s">
        <v>785</v>
      </c>
    </row>
    <row r="3178" spans="1:1">
      <c r="A3178" s="22" t="s">
        <v>464</v>
      </c>
    </row>
    <row r="3180" spans="1:1">
      <c r="A3180" s="19" t="s">
        <v>406</v>
      </c>
    </row>
    <row r="3182" spans="1:1">
      <c r="A3182" s="22" t="s">
        <v>407</v>
      </c>
    </row>
    <row r="3184" spans="1:1">
      <c r="A3184" s="22">
        <v>2</v>
      </c>
    </row>
    <row r="3186" spans="1:1">
      <c r="A3186" s="22" t="s">
        <v>786</v>
      </c>
    </row>
    <row r="3188" spans="1:1">
      <c r="A3188" s="22" t="s">
        <v>464</v>
      </c>
    </row>
    <row r="3190" spans="1:1">
      <c r="A3190" s="19" t="s">
        <v>423</v>
      </c>
    </row>
    <row r="3192" spans="1:1">
      <c r="A3192" s="19" t="s">
        <v>424</v>
      </c>
    </row>
    <row r="3194" spans="1:1">
      <c r="A3194" s="22" t="s">
        <v>407</v>
      </c>
    </row>
    <row r="3196" spans="1:1">
      <c r="A3196" s="22">
        <v>2</v>
      </c>
    </row>
    <row r="3198" spans="1:1">
      <c r="A3198" s="22" t="s">
        <v>787</v>
      </c>
    </row>
    <row r="3200" spans="1:1">
      <c r="A3200" s="22" t="s">
        <v>788</v>
      </c>
    </row>
    <row r="3202" spans="1:1">
      <c r="A3202" s="19" t="s">
        <v>423</v>
      </c>
    </row>
    <row r="3204" spans="1:1">
      <c r="A3204" s="19" t="s">
        <v>424</v>
      </c>
    </row>
    <row r="3206" spans="1:1">
      <c r="A3206" s="22" t="s">
        <v>407</v>
      </c>
    </row>
    <row r="3208" spans="1:1">
      <c r="A3208" s="22">
        <v>2</v>
      </c>
    </row>
    <row r="3210" spans="1:1">
      <c r="A3210" s="22" t="s">
        <v>789</v>
      </c>
    </row>
    <row r="3212" spans="1:1">
      <c r="A3212" s="22" t="s">
        <v>523</v>
      </c>
    </row>
    <row r="3214" spans="1:1">
      <c r="A3214" s="19" t="s">
        <v>423</v>
      </c>
    </row>
    <row r="3216" spans="1:1">
      <c r="A3216" s="19" t="s">
        <v>424</v>
      </c>
    </row>
    <row r="3218" spans="1:1">
      <c r="A3218" s="22" t="s">
        <v>407</v>
      </c>
    </row>
    <row r="3220" spans="1:1">
      <c r="A3220" s="22">
        <v>2</v>
      </c>
    </row>
    <row r="3222" spans="1:1">
      <c r="A3222" s="22" t="s">
        <v>790</v>
      </c>
    </row>
    <row r="3224" spans="1:1">
      <c r="A3224" s="22" t="s">
        <v>510</v>
      </c>
    </row>
    <row r="3226" spans="1:1">
      <c r="A3226" s="19" t="s">
        <v>423</v>
      </c>
    </row>
    <row r="3228" spans="1:1">
      <c r="A3228" s="19" t="s">
        <v>424</v>
      </c>
    </row>
    <row r="3230" spans="1:1">
      <c r="A3230" s="22" t="s">
        <v>407</v>
      </c>
    </row>
    <row r="3232" spans="1:1">
      <c r="A3232" s="22">
        <v>2</v>
      </c>
    </row>
    <row r="3234" spans="1:1">
      <c r="A3234" s="22" t="s">
        <v>791</v>
      </c>
    </row>
    <row r="3236" spans="1:1">
      <c r="A3236" s="22" t="s">
        <v>641</v>
      </c>
    </row>
    <row r="3238" spans="1:1">
      <c r="A3238" s="19" t="s">
        <v>423</v>
      </c>
    </row>
    <row r="3240" spans="1:1">
      <c r="A3240" s="19" t="s">
        <v>424</v>
      </c>
    </row>
    <row r="3242" spans="1:1">
      <c r="A3242" s="22" t="s">
        <v>407</v>
      </c>
    </row>
    <row r="3244" spans="1:1">
      <c r="A3244" s="22">
        <v>2</v>
      </c>
    </row>
    <row r="3246" spans="1:1">
      <c r="A3246" s="22" t="s">
        <v>792</v>
      </c>
    </row>
    <row r="3248" spans="1:1">
      <c r="A3248" s="22" t="s">
        <v>641</v>
      </c>
    </row>
    <row r="3250" spans="1:1">
      <c r="A3250" s="19" t="s">
        <v>423</v>
      </c>
    </row>
    <row r="3252" spans="1:1">
      <c r="A3252" s="19" t="s">
        <v>424</v>
      </c>
    </row>
    <row r="3254" spans="1:1">
      <c r="A3254" s="22" t="s">
        <v>407</v>
      </c>
    </row>
    <row r="3256" spans="1:1">
      <c r="A3256" s="22">
        <v>2</v>
      </c>
    </row>
    <row r="3258" spans="1:1">
      <c r="A3258" s="22" t="s">
        <v>793</v>
      </c>
    </row>
    <row r="3260" spans="1:1">
      <c r="A3260" s="22" t="s">
        <v>458</v>
      </c>
    </row>
    <row r="3262" spans="1:1">
      <c r="A3262" s="19" t="s">
        <v>423</v>
      </c>
    </row>
    <row r="3264" spans="1:1">
      <c r="A3264" s="19" t="s">
        <v>424</v>
      </c>
    </row>
    <row r="3266" spans="1:1">
      <c r="A3266" s="22" t="s">
        <v>407</v>
      </c>
    </row>
    <row r="3268" spans="1:1">
      <c r="A3268" s="22">
        <v>3</v>
      </c>
    </row>
    <row r="3270" spans="1:1">
      <c r="A3270" s="19" t="s">
        <v>794</v>
      </c>
    </row>
    <row r="3272" spans="1:1">
      <c r="A3272" s="22" t="s">
        <v>133</v>
      </c>
    </row>
    <row r="3273" spans="1:1">
      <c r="A3273" s="22" t="s">
        <v>131</v>
      </c>
    </row>
    <row r="3274" spans="1:1">
      <c r="A3274" s="22" t="s">
        <v>389</v>
      </c>
    </row>
    <row r="3276" spans="1:1">
      <c r="A3276" s="19" t="s">
        <v>400</v>
      </c>
    </row>
    <row r="3278" spans="1:1">
      <c r="A3278" s="19" t="s">
        <v>402</v>
      </c>
    </row>
    <row r="3280" spans="1:1">
      <c r="A3280" s="22" t="s">
        <v>420</v>
      </c>
    </row>
    <row r="3282" spans="1:1">
      <c r="A3282" s="22" t="s">
        <v>795</v>
      </c>
    </row>
    <row r="3284" spans="1:1">
      <c r="A3284" s="22" t="s">
        <v>458</v>
      </c>
    </row>
    <row r="3286" spans="1:1">
      <c r="A3286" s="19" t="s">
        <v>406</v>
      </c>
    </row>
    <row r="3288" spans="1:1">
      <c r="A3288" s="22" t="s">
        <v>407</v>
      </c>
    </row>
    <row r="3290" spans="1:1">
      <c r="A3290" s="22">
        <v>4</v>
      </c>
    </row>
    <row r="3292" spans="1:1">
      <c r="A3292" s="22" t="s">
        <v>796</v>
      </c>
    </row>
    <row r="3294" spans="1:1">
      <c r="A3294" s="22" t="s">
        <v>650</v>
      </c>
    </row>
    <row r="3296" spans="1:1">
      <c r="A3296" s="19" t="s">
        <v>423</v>
      </c>
    </row>
    <row r="3298" spans="1:1">
      <c r="A3298" s="19" t="s">
        <v>424</v>
      </c>
    </row>
    <row r="3300" spans="1:1">
      <c r="A3300" s="22" t="s">
        <v>407</v>
      </c>
    </row>
    <row r="3302" spans="1:1">
      <c r="A3302" s="22">
        <v>6</v>
      </c>
    </row>
    <row r="3304" spans="1:1">
      <c r="A3304" s="22" t="s">
        <v>797</v>
      </c>
    </row>
    <row r="3306" spans="1:1">
      <c r="A3306" s="22" t="s">
        <v>672</v>
      </c>
    </row>
    <row r="3308" spans="1:1">
      <c r="A3308" s="19" t="s">
        <v>423</v>
      </c>
    </row>
    <row r="3310" spans="1:1">
      <c r="A3310" s="19" t="s">
        <v>424</v>
      </c>
    </row>
    <row r="3312" spans="1:1">
      <c r="A3312" s="22" t="s">
        <v>407</v>
      </c>
    </row>
    <row r="3314" spans="1:1">
      <c r="A3314" s="22">
        <v>3</v>
      </c>
    </row>
    <row r="3316" spans="1:1">
      <c r="A3316" s="22" t="s">
        <v>798</v>
      </c>
    </row>
    <row r="3318" spans="1:1">
      <c r="A3318" s="22" t="s">
        <v>540</v>
      </c>
    </row>
    <row r="3320" spans="1:1">
      <c r="A3320" s="19" t="s">
        <v>423</v>
      </c>
    </row>
    <row r="3322" spans="1:1">
      <c r="A3322" s="19" t="s">
        <v>424</v>
      </c>
    </row>
    <row r="3324" spans="1:1">
      <c r="A3324" s="22" t="s">
        <v>407</v>
      </c>
    </row>
    <row r="3326" spans="1:1">
      <c r="A3326" s="22">
        <v>3</v>
      </c>
    </row>
    <row r="3328" spans="1:1">
      <c r="A3328" s="22" t="s">
        <v>799</v>
      </c>
    </row>
    <row r="3330" spans="1:1">
      <c r="A3330" s="22" t="s">
        <v>544</v>
      </c>
    </row>
    <row r="3332" spans="1:1">
      <c r="A3332" s="19" t="s">
        <v>423</v>
      </c>
    </row>
    <row r="3334" spans="1:1">
      <c r="A3334" s="19" t="s">
        <v>424</v>
      </c>
    </row>
    <row r="3336" spans="1:1">
      <c r="A3336" s="22" t="s">
        <v>407</v>
      </c>
    </row>
    <row r="3338" spans="1:1">
      <c r="A3338" s="22">
        <v>3</v>
      </c>
    </row>
    <row r="3340" spans="1:1">
      <c r="A3340" s="22" t="s">
        <v>800</v>
      </c>
    </row>
    <row r="3342" spans="1:1">
      <c r="A3342" s="22" t="s">
        <v>643</v>
      </c>
    </row>
    <row r="3344" spans="1:1">
      <c r="A3344" s="19" t="s">
        <v>423</v>
      </c>
    </row>
    <row r="3346" spans="1:1">
      <c r="A3346" s="19" t="s">
        <v>424</v>
      </c>
    </row>
    <row r="3348" spans="1:1">
      <c r="A3348" s="22" t="s">
        <v>407</v>
      </c>
    </row>
    <row r="3350" spans="1:1">
      <c r="A3350" s="22">
        <v>3</v>
      </c>
    </row>
    <row r="3352" spans="1:1">
      <c r="A3352" s="22" t="s">
        <v>801</v>
      </c>
    </row>
    <row r="3354" spans="1:1">
      <c r="A3354" s="22" t="s">
        <v>448</v>
      </c>
    </row>
    <row r="3356" spans="1:1">
      <c r="A3356" s="19" t="s">
        <v>423</v>
      </c>
    </row>
    <row r="3358" spans="1:1">
      <c r="A3358" s="19" t="s">
        <v>424</v>
      </c>
    </row>
    <row r="3360" spans="1:1">
      <c r="A3360" s="22" t="s">
        <v>407</v>
      </c>
    </row>
    <row r="3362" spans="1:1">
      <c r="A3362" s="22">
        <v>2</v>
      </c>
    </row>
    <row r="3364" spans="1:1">
      <c r="A3364" s="22" t="s">
        <v>802</v>
      </c>
    </row>
    <row r="3366" spans="1:1">
      <c r="A3366" s="22" t="s">
        <v>448</v>
      </c>
    </row>
    <row r="3368" spans="1:1">
      <c r="A3368" s="19" t="s">
        <v>423</v>
      </c>
    </row>
    <row r="3370" spans="1:1">
      <c r="A3370" s="19" t="s">
        <v>424</v>
      </c>
    </row>
    <row r="3372" spans="1:1">
      <c r="A3372" s="22" t="s">
        <v>407</v>
      </c>
    </row>
    <row r="3374" spans="1:1">
      <c r="A3374" s="22">
        <v>2</v>
      </c>
    </row>
    <row r="3376" spans="1:1">
      <c r="A3376" s="19" t="s">
        <v>803</v>
      </c>
    </row>
    <row r="3378" spans="1:1">
      <c r="A3378" s="22" t="s">
        <v>133</v>
      </c>
    </row>
    <row r="3379" spans="1:1">
      <c r="A3379" s="22" t="s">
        <v>131</v>
      </c>
    </row>
    <row r="3380" spans="1:1">
      <c r="A3380" s="22" t="s">
        <v>389</v>
      </c>
    </row>
    <row r="3382" spans="1:1">
      <c r="A3382" s="19" t="s">
        <v>400</v>
      </c>
    </row>
    <row r="3384" spans="1:1">
      <c r="A3384" s="19" t="s">
        <v>402</v>
      </c>
    </row>
    <row r="3386" spans="1:1">
      <c r="A3386" s="22" t="s">
        <v>420</v>
      </c>
    </row>
    <row r="3388" spans="1:1">
      <c r="A3388" s="22" t="s">
        <v>804</v>
      </c>
    </row>
    <row r="3390" spans="1:1">
      <c r="A3390" s="22" t="s">
        <v>652</v>
      </c>
    </row>
    <row r="3392" spans="1:1">
      <c r="A3392" s="19" t="s">
        <v>406</v>
      </c>
    </row>
    <row r="3394" spans="1:1">
      <c r="A3394" s="22" t="s">
        <v>407</v>
      </c>
    </row>
    <row r="3396" spans="1:1">
      <c r="A3396" s="22">
        <v>2</v>
      </c>
    </row>
    <row r="3398" spans="1:1">
      <c r="A3398" s="22" t="s">
        <v>805</v>
      </c>
    </row>
    <row r="3400" spans="1:1">
      <c r="A3400" s="22" t="s">
        <v>517</v>
      </c>
    </row>
    <row r="3402" spans="1:1">
      <c r="A3402" s="19" t="s">
        <v>423</v>
      </c>
    </row>
    <row r="3404" spans="1:1">
      <c r="A3404" s="19" t="s">
        <v>424</v>
      </c>
    </row>
    <row r="3406" spans="1:1">
      <c r="A3406" s="22" t="s">
        <v>407</v>
      </c>
    </row>
    <row r="3408" spans="1:1">
      <c r="A3408" s="22">
        <v>2</v>
      </c>
    </row>
    <row r="3410" spans="1:1">
      <c r="A3410" s="22" t="s">
        <v>806</v>
      </c>
    </row>
    <row r="3412" spans="1:1">
      <c r="A3412" s="22" t="s">
        <v>460</v>
      </c>
    </row>
    <row r="3414" spans="1:1">
      <c r="A3414" s="19" t="s">
        <v>423</v>
      </c>
    </row>
    <row r="3416" spans="1:1">
      <c r="A3416" s="19" t="s">
        <v>424</v>
      </c>
    </row>
    <row r="3418" spans="1:1">
      <c r="A3418" s="22" t="s">
        <v>407</v>
      </c>
    </row>
    <row r="3420" spans="1:1">
      <c r="A3420" s="22">
        <v>6</v>
      </c>
    </row>
    <row r="3422" spans="1:1">
      <c r="A3422" s="22" t="s">
        <v>807</v>
      </c>
    </row>
    <row r="3424" spans="1:1">
      <c r="A3424" s="22" t="s">
        <v>595</v>
      </c>
    </row>
    <row r="3426" spans="1:1">
      <c r="A3426" s="19" t="s">
        <v>423</v>
      </c>
    </row>
    <row r="3428" spans="1:1">
      <c r="A3428" s="19" t="s">
        <v>424</v>
      </c>
    </row>
    <row r="3430" spans="1:1">
      <c r="A3430" s="22" t="s">
        <v>407</v>
      </c>
    </row>
    <row r="3432" spans="1:1">
      <c r="A3432" s="22">
        <v>2</v>
      </c>
    </row>
    <row r="3434" spans="1:1">
      <c r="A3434" s="22" t="s">
        <v>808</v>
      </c>
    </row>
    <row r="3436" spans="1:1">
      <c r="A3436" s="22" t="s">
        <v>550</v>
      </c>
    </row>
    <row r="3438" spans="1:1">
      <c r="A3438" s="19" t="s">
        <v>423</v>
      </c>
    </row>
    <row r="3440" spans="1:1">
      <c r="A3440" s="19" t="s">
        <v>424</v>
      </c>
    </row>
    <row r="3442" spans="1:1">
      <c r="A3442" s="22" t="s">
        <v>407</v>
      </c>
    </row>
    <row r="3444" spans="1:1">
      <c r="A3444" s="22">
        <v>2</v>
      </c>
    </row>
    <row r="3446" spans="1:1">
      <c r="A3446" s="22" t="s">
        <v>809</v>
      </c>
    </row>
    <row r="3448" spans="1:1">
      <c r="A3448" s="22" t="s">
        <v>650</v>
      </c>
    </row>
    <row r="3450" spans="1:1">
      <c r="A3450" s="19" t="s">
        <v>423</v>
      </c>
    </row>
    <row r="3452" spans="1:1">
      <c r="A3452" s="19" t="s">
        <v>424</v>
      </c>
    </row>
    <row r="3454" spans="1:1">
      <c r="A3454" s="22" t="s">
        <v>407</v>
      </c>
    </row>
    <row r="3456" spans="1:1">
      <c r="A3456" s="22">
        <v>6</v>
      </c>
    </row>
    <row r="3458" spans="1:1">
      <c r="A3458" s="22" t="s">
        <v>810</v>
      </c>
    </row>
    <row r="3460" spans="1:1">
      <c r="A3460" s="22" t="s">
        <v>679</v>
      </c>
    </row>
    <row r="3462" spans="1:1">
      <c r="A3462" s="19" t="s">
        <v>423</v>
      </c>
    </row>
    <row r="3464" spans="1:1">
      <c r="A3464" s="19" t="s">
        <v>424</v>
      </c>
    </row>
    <row r="3466" spans="1:1">
      <c r="A3466" s="22" t="s">
        <v>407</v>
      </c>
    </row>
    <row r="3468" spans="1:1">
      <c r="A3468" s="22">
        <v>2</v>
      </c>
    </row>
    <row r="3470" spans="1:1">
      <c r="A3470" s="22" t="s">
        <v>811</v>
      </c>
    </row>
    <row r="3472" spans="1:1">
      <c r="A3472" s="22" t="s">
        <v>428</v>
      </c>
    </row>
    <row r="3474" spans="1:1">
      <c r="A3474" s="19" t="s">
        <v>423</v>
      </c>
    </row>
    <row r="3476" spans="1:1">
      <c r="A3476" s="19" t="s">
        <v>424</v>
      </c>
    </row>
    <row r="3478" spans="1:1">
      <c r="A3478" s="22" t="s">
        <v>407</v>
      </c>
    </row>
    <row r="3480" spans="1:1">
      <c r="A3480" s="22">
        <v>1</v>
      </c>
    </row>
    <row r="3482" spans="1:1">
      <c r="A3482" s="19" t="s">
        <v>812</v>
      </c>
    </row>
    <row r="3484" spans="1:1">
      <c r="A3484" s="22" t="s">
        <v>133</v>
      </c>
    </row>
    <row r="3485" spans="1:1">
      <c r="A3485" s="22" t="s">
        <v>131</v>
      </c>
    </row>
    <row r="3486" spans="1:1">
      <c r="A3486" s="22" t="s">
        <v>389</v>
      </c>
    </row>
    <row r="3488" spans="1:1">
      <c r="A3488" s="19" t="s">
        <v>400</v>
      </c>
    </row>
    <row r="3490" spans="1:1">
      <c r="A3490" s="19" t="s">
        <v>402</v>
      </c>
    </row>
    <row r="3492" spans="1:1">
      <c r="A3492" s="22" t="s">
        <v>420</v>
      </c>
    </row>
    <row r="3494" spans="1:1">
      <c r="A3494" s="22" t="s">
        <v>813</v>
      </c>
    </row>
    <row r="3496" spans="1:1">
      <c r="A3496" s="22" t="s">
        <v>418</v>
      </c>
    </row>
    <row r="3498" spans="1:1">
      <c r="A3498" s="19" t="s">
        <v>406</v>
      </c>
    </row>
    <row r="3500" spans="1:1">
      <c r="A3500" s="22" t="s">
        <v>407</v>
      </c>
    </row>
    <row r="3502" spans="1:1">
      <c r="A3502" s="22">
        <v>1</v>
      </c>
    </row>
    <row r="3504" spans="1:1">
      <c r="A3504" s="22" t="s">
        <v>814</v>
      </c>
    </row>
    <row r="3506" spans="1:1">
      <c r="A3506" s="22" t="s">
        <v>430</v>
      </c>
    </row>
    <row r="3508" spans="1:1">
      <c r="A3508" s="19" t="s">
        <v>423</v>
      </c>
    </row>
    <row r="3510" spans="1:1">
      <c r="A3510" s="19" t="s">
        <v>424</v>
      </c>
    </row>
    <row r="3512" spans="1:1">
      <c r="A3512" s="22" t="s">
        <v>407</v>
      </c>
    </row>
    <row r="3514" spans="1:1">
      <c r="A3514" s="22">
        <v>1</v>
      </c>
    </row>
    <row r="3516" spans="1:1">
      <c r="A3516" s="22" t="s">
        <v>815</v>
      </c>
    </row>
    <row r="3518" spans="1:1">
      <c r="A3518" s="22" t="s">
        <v>438</v>
      </c>
    </row>
    <row r="3520" spans="1:1">
      <c r="A3520" s="19" t="s">
        <v>423</v>
      </c>
    </row>
    <row r="3522" spans="1:1">
      <c r="A3522" s="19" t="s">
        <v>424</v>
      </c>
    </row>
    <row r="3524" spans="1:1">
      <c r="A3524" s="22" t="s">
        <v>407</v>
      </c>
    </row>
    <row r="3526" spans="1:1">
      <c r="A3526" s="22">
        <v>2</v>
      </c>
    </row>
    <row r="3528" spans="1:1">
      <c r="A3528" s="22" t="s">
        <v>816</v>
      </c>
    </row>
    <row r="3530" spans="1:1">
      <c r="A3530" s="22" t="s">
        <v>438</v>
      </c>
    </row>
    <row r="3532" spans="1:1">
      <c r="A3532" s="19" t="s">
        <v>423</v>
      </c>
    </row>
    <row r="3534" spans="1:1">
      <c r="A3534" s="19" t="s">
        <v>424</v>
      </c>
    </row>
    <row r="3536" spans="1:1">
      <c r="A3536" s="22" t="s">
        <v>407</v>
      </c>
    </row>
    <row r="3538" spans="1:1">
      <c r="A3538" s="22">
        <v>2</v>
      </c>
    </row>
    <row r="3540" spans="1:1">
      <c r="A3540" s="22" t="s">
        <v>817</v>
      </c>
    </row>
    <row r="3542" spans="1:1">
      <c r="A3542" s="22" t="s">
        <v>432</v>
      </c>
    </row>
    <row r="3544" spans="1:1">
      <c r="A3544" s="19" t="s">
        <v>423</v>
      </c>
    </row>
    <row r="3546" spans="1:1">
      <c r="A3546" s="19" t="s">
        <v>424</v>
      </c>
    </row>
    <row r="3548" spans="1:1">
      <c r="A3548" s="22" t="s">
        <v>407</v>
      </c>
    </row>
    <row r="3550" spans="1:1">
      <c r="A3550" s="22">
        <v>2</v>
      </c>
    </row>
    <row r="3552" spans="1:1">
      <c r="A3552" s="22" t="s">
        <v>818</v>
      </c>
    </row>
    <row r="3554" spans="1:1">
      <c r="A3554" s="22" t="s">
        <v>428</v>
      </c>
    </row>
    <row r="3556" spans="1:1">
      <c r="A3556" s="19" t="s">
        <v>423</v>
      </c>
    </row>
    <row r="3558" spans="1:1">
      <c r="A3558" s="19" t="s">
        <v>424</v>
      </c>
    </row>
    <row r="3560" spans="1:1">
      <c r="A3560" s="22" t="s">
        <v>407</v>
      </c>
    </row>
    <row r="3562" spans="1:1">
      <c r="A3562" s="22">
        <v>2</v>
      </c>
    </row>
    <row r="3564" spans="1:1">
      <c r="A3564" s="22" t="s">
        <v>819</v>
      </c>
    </row>
    <row r="3566" spans="1:1">
      <c r="A3566" s="22" t="s">
        <v>430</v>
      </c>
    </row>
    <row r="3568" spans="1:1">
      <c r="A3568" s="19" t="s">
        <v>423</v>
      </c>
    </row>
    <row r="3570" spans="1:1">
      <c r="A3570" s="19" t="s">
        <v>424</v>
      </c>
    </row>
    <row r="3572" spans="1:1">
      <c r="A3572" s="22" t="s">
        <v>407</v>
      </c>
    </row>
    <row r="3574" spans="1:1">
      <c r="A3574" s="22">
        <v>2</v>
      </c>
    </row>
    <row r="3576" spans="1:1">
      <c r="A3576" s="22" t="s">
        <v>820</v>
      </c>
    </row>
    <row r="3578" spans="1:1">
      <c r="A3578" s="22" t="s">
        <v>418</v>
      </c>
    </row>
    <row r="3580" spans="1:1">
      <c r="A3580" s="19" t="s">
        <v>423</v>
      </c>
    </row>
    <row r="3582" spans="1:1">
      <c r="A3582" s="19" t="s">
        <v>424</v>
      </c>
    </row>
    <row r="3584" spans="1:1">
      <c r="A3584" s="22" t="s">
        <v>407</v>
      </c>
    </row>
    <row r="3586" spans="1:1">
      <c r="A3586" s="22">
        <v>2</v>
      </c>
    </row>
    <row r="3588" spans="1:1">
      <c r="A3588" s="19" t="s">
        <v>821</v>
      </c>
    </row>
    <row r="3590" spans="1:1">
      <c r="A3590" s="22" t="s">
        <v>133</v>
      </c>
    </row>
    <row r="3591" spans="1:1">
      <c r="A3591" s="22" t="s">
        <v>131</v>
      </c>
    </row>
    <row r="3592" spans="1:1">
      <c r="A3592" s="22" t="s">
        <v>389</v>
      </c>
    </row>
    <row r="3594" spans="1:1">
      <c r="A3594" s="19" t="s">
        <v>400</v>
      </c>
    </row>
    <row r="3596" spans="1:1">
      <c r="A3596" s="19" t="s">
        <v>402</v>
      </c>
    </row>
    <row r="3598" spans="1:1">
      <c r="A3598" s="22" t="s">
        <v>420</v>
      </c>
    </row>
    <row r="3600" spans="1:1">
      <c r="A3600" s="22" t="s">
        <v>822</v>
      </c>
    </row>
    <row r="3602" spans="1:1">
      <c r="A3602" s="22" t="s">
        <v>428</v>
      </c>
    </row>
    <row r="3604" spans="1:1">
      <c r="A3604" s="19" t="s">
        <v>406</v>
      </c>
    </row>
    <row r="3606" spans="1:1">
      <c r="A3606" s="22" t="s">
        <v>407</v>
      </c>
    </row>
    <row r="3608" spans="1:1">
      <c r="A3608" s="22">
        <v>2</v>
      </c>
    </row>
    <row r="3610" spans="1:1">
      <c r="A3610" s="22" t="s">
        <v>823</v>
      </c>
    </row>
    <row r="3612" spans="1:1">
      <c r="A3612" s="22" t="s">
        <v>428</v>
      </c>
    </row>
    <row r="3614" spans="1:1">
      <c r="A3614" s="19" t="s">
        <v>423</v>
      </c>
    </row>
    <row r="3616" spans="1:1">
      <c r="A3616" s="19" t="s">
        <v>424</v>
      </c>
    </row>
    <row r="3618" spans="1:1">
      <c r="A3618" s="22" t="s">
        <v>407</v>
      </c>
    </row>
    <row r="3620" spans="1:1">
      <c r="A3620" s="22">
        <v>2</v>
      </c>
    </row>
    <row r="3622" spans="1:1">
      <c r="A3622" s="22" t="s">
        <v>824</v>
      </c>
    </row>
    <row r="3624" spans="1:1">
      <c r="A3624" s="22" t="s">
        <v>495</v>
      </c>
    </row>
    <row r="3626" spans="1:1">
      <c r="A3626" s="19" t="s">
        <v>423</v>
      </c>
    </row>
    <row r="3628" spans="1:1">
      <c r="A3628" s="19" t="s">
        <v>424</v>
      </c>
    </row>
    <row r="3630" spans="1:1">
      <c r="A3630" s="22" t="s">
        <v>407</v>
      </c>
    </row>
    <row r="3632" spans="1:1">
      <c r="A3632" s="22">
        <v>6</v>
      </c>
    </row>
    <row r="3634" spans="1:1">
      <c r="A3634" s="22" t="s">
        <v>825</v>
      </c>
    </row>
    <row r="3636" spans="1:1">
      <c r="A3636" s="22" t="s">
        <v>728</v>
      </c>
    </row>
    <row r="3638" spans="1:1">
      <c r="A3638" s="19" t="s">
        <v>423</v>
      </c>
    </row>
    <row r="3640" spans="1:1">
      <c r="A3640" s="19" t="s">
        <v>424</v>
      </c>
    </row>
    <row r="3642" spans="1:1">
      <c r="A3642" s="22" t="s">
        <v>407</v>
      </c>
    </row>
    <row r="3644" spans="1:1">
      <c r="A3644" s="22">
        <v>2</v>
      </c>
    </row>
    <row r="3646" spans="1:1">
      <c r="A3646" s="22" t="s">
        <v>826</v>
      </c>
    </row>
    <row r="3648" spans="1:1">
      <c r="A3648" s="22" t="s">
        <v>827</v>
      </c>
    </row>
    <row r="3650" spans="1:1">
      <c r="A3650" s="19" t="s">
        <v>423</v>
      </c>
    </row>
    <row r="3652" spans="1:1">
      <c r="A3652" s="19" t="s">
        <v>424</v>
      </c>
    </row>
    <row r="3654" spans="1:1">
      <c r="A3654" s="22" t="s">
        <v>407</v>
      </c>
    </row>
    <row r="3656" spans="1:1">
      <c r="A3656" s="22">
        <v>2</v>
      </c>
    </row>
    <row r="3658" spans="1:1">
      <c r="A3658" s="22" t="s">
        <v>828</v>
      </c>
    </row>
    <row r="3660" spans="1:1">
      <c r="A3660" s="22" t="s">
        <v>829</v>
      </c>
    </row>
    <row r="3662" spans="1:1">
      <c r="A3662" s="19" t="s">
        <v>423</v>
      </c>
    </row>
    <row r="3664" spans="1:1">
      <c r="A3664" s="19" t="s">
        <v>424</v>
      </c>
    </row>
    <row r="3666" spans="1:1">
      <c r="A3666" s="22" t="s">
        <v>407</v>
      </c>
    </row>
    <row r="3668" spans="1:1">
      <c r="A3668" s="22">
        <v>2</v>
      </c>
    </row>
    <row r="3670" spans="1:1">
      <c r="A3670" s="22" t="s">
        <v>830</v>
      </c>
    </row>
    <row r="3672" spans="1:1">
      <c r="A3672" s="22" t="s">
        <v>560</v>
      </c>
    </row>
    <row r="3674" spans="1:1">
      <c r="A3674" s="19" t="s">
        <v>423</v>
      </c>
    </row>
    <row r="3676" spans="1:1">
      <c r="A3676" s="19" t="s">
        <v>424</v>
      </c>
    </row>
    <row r="3678" spans="1:1">
      <c r="A3678" s="22" t="s">
        <v>407</v>
      </c>
    </row>
    <row r="3680" spans="1:1">
      <c r="A3680" s="22">
        <v>2</v>
      </c>
    </row>
    <row r="3682" spans="1:1">
      <c r="A3682" s="22" t="s">
        <v>831</v>
      </c>
    </row>
    <row r="3684" spans="1:1">
      <c r="A3684" s="22" t="s">
        <v>832</v>
      </c>
    </row>
    <row r="3686" spans="1:1">
      <c r="A3686" s="19" t="s">
        <v>423</v>
      </c>
    </row>
    <row r="3688" spans="1:1">
      <c r="A3688" s="19" t="s">
        <v>424</v>
      </c>
    </row>
    <row r="3690" spans="1:1">
      <c r="A3690" s="22" t="s">
        <v>407</v>
      </c>
    </row>
    <row r="3692" spans="1:1">
      <c r="A3692" s="22">
        <v>2</v>
      </c>
    </row>
    <row r="3694" spans="1:1">
      <c r="A3694" s="19" t="s">
        <v>833</v>
      </c>
    </row>
    <row r="3696" spans="1:1">
      <c r="A3696" s="22" t="s">
        <v>133</v>
      </c>
    </row>
    <row r="3697" spans="1:1">
      <c r="A3697" s="22" t="s">
        <v>131</v>
      </c>
    </row>
    <row r="3698" spans="1:1">
      <c r="A3698" s="22" t="s">
        <v>389</v>
      </c>
    </row>
    <row r="3700" spans="1:1">
      <c r="A3700" s="19" t="s">
        <v>400</v>
      </c>
    </row>
    <row r="3702" spans="1:1">
      <c r="A3702" s="19" t="s">
        <v>402</v>
      </c>
    </row>
    <row r="3704" spans="1:1">
      <c r="A3704" s="22" t="s">
        <v>420</v>
      </c>
    </row>
    <row r="3706" spans="1:1">
      <c r="A3706" s="22" t="s">
        <v>834</v>
      </c>
    </row>
    <row r="3708" spans="1:1">
      <c r="A3708" s="22" t="s">
        <v>595</v>
      </c>
    </row>
    <row r="3710" spans="1:1">
      <c r="A3710" s="19" t="s">
        <v>406</v>
      </c>
    </row>
    <row r="3712" spans="1:1">
      <c r="A3712" s="22" t="s">
        <v>407</v>
      </c>
    </row>
    <row r="3714" spans="1:1">
      <c r="A3714" s="22">
        <v>4</v>
      </c>
    </row>
    <row r="3716" spans="1:1">
      <c r="A3716" s="22" t="s">
        <v>835</v>
      </c>
    </row>
    <row r="3718" spans="1:1">
      <c r="A3718" s="22" t="s">
        <v>738</v>
      </c>
    </row>
    <row r="3720" spans="1:1">
      <c r="A3720" s="19" t="s">
        <v>423</v>
      </c>
    </row>
    <row r="3722" spans="1:1">
      <c r="A3722" s="19" t="s">
        <v>424</v>
      </c>
    </row>
    <row r="3724" spans="1:1">
      <c r="A3724" s="22" t="s">
        <v>407</v>
      </c>
    </row>
    <row r="3726" spans="1:1">
      <c r="A3726" s="22">
        <v>2</v>
      </c>
    </row>
    <row r="3728" spans="1:1">
      <c r="A3728" s="22" t="s">
        <v>836</v>
      </c>
    </row>
    <row r="3730" spans="1:1">
      <c r="A3730" s="22" t="s">
        <v>837</v>
      </c>
    </row>
    <row r="3732" spans="1:1">
      <c r="A3732" s="19" t="s">
        <v>423</v>
      </c>
    </row>
    <row r="3734" spans="1:1">
      <c r="A3734" s="19" t="s">
        <v>424</v>
      </c>
    </row>
    <row r="3736" spans="1:1">
      <c r="A3736" s="22" t="s">
        <v>407</v>
      </c>
    </row>
    <row r="3738" spans="1:1">
      <c r="A3738" s="22">
        <v>2</v>
      </c>
    </row>
    <row r="3740" spans="1:1">
      <c r="A3740" s="22" t="s">
        <v>838</v>
      </c>
    </row>
    <row r="3742" spans="1:1">
      <c r="A3742" s="22" t="s">
        <v>839</v>
      </c>
    </row>
    <row r="3744" spans="1:1">
      <c r="A3744" s="19" t="s">
        <v>423</v>
      </c>
    </row>
    <row r="3746" spans="1:1">
      <c r="A3746" s="19" t="s">
        <v>424</v>
      </c>
    </row>
    <row r="3748" spans="1:1">
      <c r="A3748" s="22" t="s">
        <v>407</v>
      </c>
    </row>
    <row r="3750" spans="1:1">
      <c r="A3750" s="22">
        <v>2</v>
      </c>
    </row>
    <row r="3752" spans="1:1">
      <c r="A3752" s="22" t="s">
        <v>840</v>
      </c>
    </row>
    <row r="3754" spans="1:1">
      <c r="A3754" s="22" t="s">
        <v>841</v>
      </c>
    </row>
    <row r="3756" spans="1:1">
      <c r="A3756" s="19" t="s">
        <v>423</v>
      </c>
    </row>
    <row r="3758" spans="1:1">
      <c r="A3758" s="19" t="s">
        <v>424</v>
      </c>
    </row>
    <row r="3760" spans="1:1">
      <c r="A3760" s="22" t="s">
        <v>407</v>
      </c>
    </row>
    <row r="3762" spans="1:1">
      <c r="A3762" s="22">
        <v>2</v>
      </c>
    </row>
    <row r="3764" spans="1:1">
      <c r="A3764" s="22" t="s">
        <v>842</v>
      </c>
    </row>
    <row r="3766" spans="1:1">
      <c r="A3766" s="22" t="s">
        <v>843</v>
      </c>
    </row>
    <row r="3768" spans="1:1">
      <c r="A3768" s="19" t="s">
        <v>423</v>
      </c>
    </row>
    <row r="3770" spans="1:1">
      <c r="A3770" s="19" t="s">
        <v>424</v>
      </c>
    </row>
    <row r="3772" spans="1:1">
      <c r="A3772" s="22" t="s">
        <v>407</v>
      </c>
    </row>
    <row r="3774" spans="1:1">
      <c r="A3774" s="22">
        <v>2</v>
      </c>
    </row>
    <row r="3776" spans="1:1">
      <c r="A3776" s="22" t="s">
        <v>844</v>
      </c>
    </row>
    <row r="3778" spans="1:1">
      <c r="A3778" s="22" t="s">
        <v>464</v>
      </c>
    </row>
    <row r="3780" spans="1:1">
      <c r="A3780" s="19" t="s">
        <v>423</v>
      </c>
    </row>
    <row r="3782" spans="1:1">
      <c r="A3782" s="19" t="s">
        <v>424</v>
      </c>
    </row>
    <row r="3784" spans="1:1">
      <c r="A3784" s="22" t="s">
        <v>407</v>
      </c>
    </row>
    <row r="3786" spans="1:1">
      <c r="A3786" s="22">
        <v>2</v>
      </c>
    </row>
    <row r="3788" spans="1:1">
      <c r="A3788" s="22" t="s">
        <v>845</v>
      </c>
    </row>
    <row r="3790" spans="1:1">
      <c r="A3790" s="22" t="s">
        <v>460</v>
      </c>
    </row>
    <row r="3792" spans="1:1">
      <c r="A3792" s="19" t="s">
        <v>423</v>
      </c>
    </row>
    <row r="3794" spans="1:1">
      <c r="A3794" s="19" t="s">
        <v>424</v>
      </c>
    </row>
    <row r="3796" spans="1:1">
      <c r="A3796" s="22" t="s">
        <v>407</v>
      </c>
    </row>
    <row r="3798" spans="1:1">
      <c r="A3798" s="22">
        <v>6</v>
      </c>
    </row>
    <row r="3800" spans="1:1">
      <c r="A3800" s="19" t="s">
        <v>846</v>
      </c>
    </row>
    <row r="3802" spans="1:1">
      <c r="A3802" s="22" t="s">
        <v>133</v>
      </c>
    </row>
    <row r="3803" spans="1:1">
      <c r="A3803" s="22" t="s">
        <v>131</v>
      </c>
    </row>
    <row r="3804" spans="1:1">
      <c r="A3804" s="22" t="s">
        <v>389</v>
      </c>
    </row>
    <row r="3806" spans="1:1">
      <c r="A3806" s="19" t="s">
        <v>400</v>
      </c>
    </row>
    <row r="3808" spans="1:1">
      <c r="A3808" s="19" t="s">
        <v>402</v>
      </c>
    </row>
    <row r="3810" spans="1:1">
      <c r="A3810" s="22" t="s">
        <v>420</v>
      </c>
    </row>
    <row r="3812" spans="1:1">
      <c r="A3812" s="22" t="s">
        <v>847</v>
      </c>
    </row>
    <row r="3814" spans="1:1">
      <c r="A3814" s="22" t="s">
        <v>560</v>
      </c>
    </row>
    <row r="3816" spans="1:1">
      <c r="A3816" s="19" t="s">
        <v>406</v>
      </c>
    </row>
    <row r="3818" spans="1:1">
      <c r="A3818" s="22" t="s">
        <v>407</v>
      </c>
    </row>
    <row r="3820" spans="1:1">
      <c r="A3820" s="22">
        <v>2</v>
      </c>
    </row>
    <row r="3822" spans="1:1">
      <c r="A3822" s="22" t="s">
        <v>848</v>
      </c>
    </row>
    <row r="3824" spans="1:1">
      <c r="A3824" s="22" t="s">
        <v>849</v>
      </c>
    </row>
    <row r="3826" spans="1:1">
      <c r="A3826" s="19" t="s">
        <v>423</v>
      </c>
    </row>
    <row r="3828" spans="1:1">
      <c r="A3828" s="19" t="s">
        <v>424</v>
      </c>
    </row>
    <row r="3830" spans="1:1">
      <c r="A3830" s="22" t="s">
        <v>407</v>
      </c>
    </row>
    <row r="3832" spans="1:1">
      <c r="A3832" s="22">
        <v>3</v>
      </c>
    </row>
    <row r="3834" spans="1:1">
      <c r="A3834" s="22" t="s">
        <v>850</v>
      </c>
    </row>
    <row r="3836" spans="1:1">
      <c r="A3836" s="22" t="s">
        <v>755</v>
      </c>
    </row>
    <row r="3838" spans="1:1">
      <c r="A3838" s="19" t="s">
        <v>423</v>
      </c>
    </row>
    <row r="3840" spans="1:1">
      <c r="A3840" s="19" t="s">
        <v>424</v>
      </c>
    </row>
    <row r="3842" spans="1:1">
      <c r="A3842" s="22" t="s">
        <v>407</v>
      </c>
    </row>
    <row r="3844" spans="1:1">
      <c r="A3844" s="22">
        <v>3</v>
      </c>
    </row>
    <row r="3846" spans="1:1">
      <c r="A3846" s="22" t="s">
        <v>851</v>
      </c>
    </row>
    <row r="3848" spans="1:1">
      <c r="A3848" s="22" t="s">
        <v>755</v>
      </c>
    </row>
    <row r="3850" spans="1:1">
      <c r="A3850" s="19" t="s">
        <v>423</v>
      </c>
    </row>
    <row r="3852" spans="1:1">
      <c r="A3852" s="19" t="s">
        <v>424</v>
      </c>
    </row>
    <row r="3854" spans="1:1">
      <c r="A3854" s="22" t="s">
        <v>407</v>
      </c>
    </row>
    <row r="3856" spans="1:1">
      <c r="A3856" s="22">
        <v>3</v>
      </c>
    </row>
    <row r="3858" spans="1:1">
      <c r="A3858" s="22" t="s">
        <v>852</v>
      </c>
    </row>
    <row r="3860" spans="1:1">
      <c r="A3860" s="22" t="s">
        <v>679</v>
      </c>
    </row>
    <row r="3862" spans="1:1">
      <c r="A3862" s="19" t="s">
        <v>423</v>
      </c>
    </row>
    <row r="3864" spans="1:1">
      <c r="A3864" s="19" t="s">
        <v>424</v>
      </c>
    </row>
    <row r="3866" spans="1:1">
      <c r="A3866" s="22" t="s">
        <v>407</v>
      </c>
    </row>
    <row r="3868" spans="1:1">
      <c r="A3868" s="22">
        <v>2</v>
      </c>
    </row>
    <row r="3870" spans="1:1">
      <c r="A3870" s="22" t="s">
        <v>853</v>
      </c>
    </row>
    <row r="3872" spans="1:1">
      <c r="A3872" s="22" t="s">
        <v>430</v>
      </c>
    </row>
    <row r="3874" spans="1:1">
      <c r="A3874" s="19" t="s">
        <v>423</v>
      </c>
    </row>
    <row r="3876" spans="1:1">
      <c r="A3876" s="19" t="s">
        <v>424</v>
      </c>
    </row>
    <row r="3878" spans="1:1">
      <c r="A3878" s="22" t="s">
        <v>407</v>
      </c>
    </row>
    <row r="3880" spans="1:1">
      <c r="A3880" s="22">
        <v>1</v>
      </c>
    </row>
    <row r="3882" spans="1:1">
      <c r="A3882" s="22" t="s">
        <v>854</v>
      </c>
    </row>
    <row r="3884" spans="1:1">
      <c r="A3884" s="22" t="s">
        <v>428</v>
      </c>
    </row>
    <row r="3886" spans="1:1">
      <c r="A3886" s="19" t="s">
        <v>423</v>
      </c>
    </row>
    <row r="3888" spans="1:1">
      <c r="A3888" s="19" t="s">
        <v>424</v>
      </c>
    </row>
    <row r="3890" spans="1:1">
      <c r="A3890" s="22" t="s">
        <v>407</v>
      </c>
    </row>
    <row r="3892" spans="1:1">
      <c r="A3892" s="22">
        <v>2</v>
      </c>
    </row>
    <row r="3894" spans="1:1">
      <c r="A3894" s="22" t="s">
        <v>855</v>
      </c>
    </row>
    <row r="3896" spans="1:1">
      <c r="A3896" s="22" t="s">
        <v>428</v>
      </c>
    </row>
    <row r="3898" spans="1:1">
      <c r="A3898" s="19" t="s">
        <v>423</v>
      </c>
    </row>
    <row r="3900" spans="1:1">
      <c r="A3900" s="19" t="s">
        <v>424</v>
      </c>
    </row>
    <row r="3902" spans="1:1">
      <c r="A3902" s="22" t="s">
        <v>407</v>
      </c>
    </row>
    <row r="3904" spans="1:1">
      <c r="A3904" s="22">
        <v>1</v>
      </c>
    </row>
    <row r="3906" spans="1:1">
      <c r="A3906" s="19" t="s">
        <v>856</v>
      </c>
    </row>
    <row r="3908" spans="1:1">
      <c r="A3908" s="22" t="s">
        <v>133</v>
      </c>
    </row>
    <row r="3909" spans="1:1">
      <c r="A3909" s="22" t="s">
        <v>131</v>
      </c>
    </row>
    <row r="3910" spans="1:1">
      <c r="A3910" s="22" t="s">
        <v>389</v>
      </c>
    </row>
    <row r="3912" spans="1:1">
      <c r="A3912" s="19" t="s">
        <v>400</v>
      </c>
    </row>
    <row r="3914" spans="1:1">
      <c r="A3914" s="19" t="s">
        <v>402</v>
      </c>
    </row>
    <row r="3916" spans="1:1">
      <c r="A3916" s="22" t="s">
        <v>420</v>
      </c>
    </row>
    <row r="3918" spans="1:1">
      <c r="A3918" s="22" t="s">
        <v>857</v>
      </c>
    </row>
    <row r="3920" spans="1:1">
      <c r="A3920" s="22" t="s">
        <v>422</v>
      </c>
    </row>
    <row r="3922" spans="1:1">
      <c r="A3922" s="19" t="s">
        <v>406</v>
      </c>
    </row>
    <row r="3924" spans="1:1">
      <c r="A3924" s="22" t="s">
        <v>407</v>
      </c>
    </row>
    <row r="3926" spans="1:1">
      <c r="A3926" s="22">
        <v>2</v>
      </c>
    </row>
    <row r="3928" spans="1:1">
      <c r="A3928" s="22" t="s">
        <v>858</v>
      </c>
    </row>
    <row r="3930" spans="1:1">
      <c r="A3930" s="22" t="s">
        <v>432</v>
      </c>
    </row>
    <row r="3932" spans="1:1">
      <c r="A3932" s="19" t="s">
        <v>423</v>
      </c>
    </row>
    <row r="3934" spans="1:1">
      <c r="A3934" s="19" t="s">
        <v>424</v>
      </c>
    </row>
    <row r="3936" spans="1:1">
      <c r="A3936" s="22" t="s">
        <v>407</v>
      </c>
    </row>
    <row r="3938" spans="1:1">
      <c r="A3938" s="22">
        <v>1</v>
      </c>
    </row>
    <row r="3940" spans="1:1">
      <c r="A3940" s="22" t="s">
        <v>859</v>
      </c>
    </row>
    <row r="3942" spans="1:1">
      <c r="A3942" s="22" t="s">
        <v>430</v>
      </c>
    </row>
    <row r="3944" spans="1:1">
      <c r="A3944" s="19" t="s">
        <v>423</v>
      </c>
    </row>
    <row r="3946" spans="1:1">
      <c r="A3946" s="19" t="s">
        <v>424</v>
      </c>
    </row>
    <row r="3948" spans="1:1">
      <c r="A3948" s="22" t="s">
        <v>407</v>
      </c>
    </row>
    <row r="3950" spans="1:1">
      <c r="A3950" s="22">
        <v>2</v>
      </c>
    </row>
    <row r="3952" spans="1:1">
      <c r="A3952" s="22" t="s">
        <v>860</v>
      </c>
    </row>
    <row r="3954" spans="1:1">
      <c r="A3954" s="22" t="s">
        <v>422</v>
      </c>
    </row>
    <row r="3956" spans="1:1">
      <c r="A3956" s="19" t="s">
        <v>423</v>
      </c>
    </row>
    <row r="3958" spans="1:1">
      <c r="A3958" s="19" t="s">
        <v>424</v>
      </c>
    </row>
    <row r="3960" spans="1:1">
      <c r="A3960" s="22" t="s">
        <v>407</v>
      </c>
    </row>
    <row r="3962" spans="1:1">
      <c r="A3962" s="22">
        <v>2</v>
      </c>
    </row>
    <row r="3964" spans="1:1">
      <c r="A3964" s="22" t="s">
        <v>861</v>
      </c>
    </row>
    <row r="3966" spans="1:1">
      <c r="A3966" s="22" t="s">
        <v>438</v>
      </c>
    </row>
    <row r="3968" spans="1:1">
      <c r="A3968" s="19" t="s">
        <v>423</v>
      </c>
    </row>
    <row r="3970" spans="1:1">
      <c r="A3970" s="19" t="s">
        <v>424</v>
      </c>
    </row>
    <row r="3972" spans="1:1">
      <c r="A3972" s="22" t="s">
        <v>407</v>
      </c>
    </row>
    <row r="3974" spans="1:1">
      <c r="A3974" s="22">
        <v>2</v>
      </c>
    </row>
    <row r="3976" spans="1:1">
      <c r="A3976" s="22" t="s">
        <v>862</v>
      </c>
    </row>
    <row r="3978" spans="1:1">
      <c r="A3978" s="22" t="s">
        <v>418</v>
      </c>
    </row>
    <row r="3980" spans="1:1">
      <c r="A3980" s="19" t="s">
        <v>423</v>
      </c>
    </row>
    <row r="3982" spans="1:1">
      <c r="A3982" s="19" t="s">
        <v>424</v>
      </c>
    </row>
    <row r="3984" spans="1:1">
      <c r="A3984" s="22" t="s">
        <v>407</v>
      </c>
    </row>
    <row r="3986" spans="1:1">
      <c r="A3986" s="22">
        <v>2</v>
      </c>
    </row>
    <row r="3988" spans="1:1">
      <c r="A3988" s="22" t="s">
        <v>863</v>
      </c>
    </row>
    <row r="3990" spans="1:1">
      <c r="A3990" s="22" t="s">
        <v>495</v>
      </c>
    </row>
    <row r="3992" spans="1:1">
      <c r="A3992" s="19" t="s">
        <v>423</v>
      </c>
    </row>
    <row r="3994" spans="1:1">
      <c r="A3994" s="19" t="s">
        <v>424</v>
      </c>
    </row>
    <row r="3996" spans="1:1">
      <c r="A3996" s="22" t="s">
        <v>407</v>
      </c>
    </row>
    <row r="3998" spans="1:1">
      <c r="A3998" s="22">
        <v>6</v>
      </c>
    </row>
    <row r="4000" spans="1:1">
      <c r="A4000" s="22" t="s">
        <v>864</v>
      </c>
    </row>
    <row r="4002" spans="1:1">
      <c r="A4002" s="22" t="s">
        <v>444</v>
      </c>
    </row>
    <row r="4004" spans="1:1">
      <c r="A4004" s="19" t="s">
        <v>423</v>
      </c>
    </row>
    <row r="4006" spans="1:1">
      <c r="A4006" s="19" t="s">
        <v>424</v>
      </c>
    </row>
    <row r="4008" spans="1:1">
      <c r="A4008" s="22" t="s">
        <v>407</v>
      </c>
    </row>
    <row r="4010" spans="1:1">
      <c r="A4010" s="22">
        <v>6</v>
      </c>
    </row>
    <row r="4012" spans="1:1">
      <c r="A4012" s="19" t="s">
        <v>865</v>
      </c>
    </row>
    <row r="4014" spans="1:1">
      <c r="A4014" s="22" t="s">
        <v>133</v>
      </c>
    </row>
    <row r="4015" spans="1:1">
      <c r="A4015" s="22" t="s">
        <v>131</v>
      </c>
    </row>
    <row r="4016" spans="1:1">
      <c r="A4016" s="22" t="s">
        <v>389</v>
      </c>
    </row>
    <row r="4018" spans="1:1">
      <c r="A4018" s="19" t="s">
        <v>400</v>
      </c>
    </row>
    <row r="4020" spans="1:1">
      <c r="A4020" s="19" t="s">
        <v>402</v>
      </c>
    </row>
    <row r="4022" spans="1:1">
      <c r="A4022" s="22" t="s">
        <v>420</v>
      </c>
    </row>
    <row r="4024" spans="1:1">
      <c r="A4024" s="22" t="s">
        <v>866</v>
      </c>
    </row>
    <row r="4026" spans="1:1">
      <c r="A4026" s="22" t="s">
        <v>422</v>
      </c>
    </row>
    <row r="4028" spans="1:1">
      <c r="A4028" s="19" t="s">
        <v>406</v>
      </c>
    </row>
    <row r="4030" spans="1:1">
      <c r="A4030" s="22" t="s">
        <v>407</v>
      </c>
    </row>
    <row r="4032" spans="1:1">
      <c r="A4032" s="22">
        <v>2</v>
      </c>
    </row>
    <row r="4034" spans="1:1">
      <c r="A4034" s="22" t="s">
        <v>867</v>
      </c>
    </row>
    <row r="4036" spans="1:1">
      <c r="A4036" s="22" t="s">
        <v>733</v>
      </c>
    </row>
    <row r="4038" spans="1:1">
      <c r="A4038" s="19" t="s">
        <v>423</v>
      </c>
    </row>
    <row r="4040" spans="1:1">
      <c r="A4040" s="19" t="s">
        <v>424</v>
      </c>
    </row>
    <row r="4042" spans="1:1">
      <c r="A4042" s="22" t="s">
        <v>407</v>
      </c>
    </row>
    <row r="4044" spans="1:1">
      <c r="A4044" s="22">
        <v>2</v>
      </c>
    </row>
    <row r="4046" spans="1:1">
      <c r="A4046" s="22" t="s">
        <v>868</v>
      </c>
    </row>
    <row r="4048" spans="1:1">
      <c r="A4048" s="22" t="s">
        <v>446</v>
      </c>
    </row>
    <row r="4050" spans="1:1">
      <c r="A4050" s="19" t="s">
        <v>423</v>
      </c>
    </row>
    <row r="4052" spans="1:1">
      <c r="A4052" s="19" t="s">
        <v>424</v>
      </c>
    </row>
    <row r="4054" spans="1:1">
      <c r="A4054" s="22" t="s">
        <v>407</v>
      </c>
    </row>
    <row r="4056" spans="1:1">
      <c r="A4056" s="22">
        <v>2</v>
      </c>
    </row>
    <row r="4058" spans="1:1">
      <c r="A4058" s="22" t="s">
        <v>869</v>
      </c>
    </row>
    <row r="4060" spans="1:1">
      <c r="A4060" s="22" t="s">
        <v>460</v>
      </c>
    </row>
    <row r="4062" spans="1:1">
      <c r="A4062" s="19" t="s">
        <v>423</v>
      </c>
    </row>
    <row r="4064" spans="1:1">
      <c r="A4064" s="19" t="s">
        <v>424</v>
      </c>
    </row>
    <row r="4066" spans="1:1">
      <c r="A4066" s="22" t="s">
        <v>407</v>
      </c>
    </row>
    <row r="4068" spans="1:1">
      <c r="A4068" s="22">
        <v>8</v>
      </c>
    </row>
    <row r="4070" spans="1:1">
      <c r="A4070" s="22" t="s">
        <v>870</v>
      </c>
    </row>
    <row r="4072" spans="1:1">
      <c r="A4072" s="22" t="s">
        <v>871</v>
      </c>
    </row>
    <row r="4074" spans="1:1">
      <c r="A4074" s="19" t="s">
        <v>423</v>
      </c>
    </row>
    <row r="4076" spans="1:1">
      <c r="A4076" s="19" t="s">
        <v>424</v>
      </c>
    </row>
    <row r="4078" spans="1:1">
      <c r="A4078" s="22" t="s">
        <v>407</v>
      </c>
    </row>
    <row r="4080" spans="1:1">
      <c r="A4080" s="22">
        <v>2</v>
      </c>
    </row>
    <row r="4082" spans="1:1">
      <c r="A4082" s="22" t="s">
        <v>872</v>
      </c>
    </row>
    <row r="4084" spans="1:1">
      <c r="A4084" s="22" t="s">
        <v>873</v>
      </c>
    </row>
    <row r="4086" spans="1:1">
      <c r="A4086" s="19" t="s">
        <v>423</v>
      </c>
    </row>
    <row r="4088" spans="1:1">
      <c r="A4088" s="19" t="s">
        <v>424</v>
      </c>
    </row>
    <row r="4090" spans="1:1">
      <c r="A4090" s="22" t="s">
        <v>407</v>
      </c>
    </row>
    <row r="4092" spans="1:1">
      <c r="A4092" s="22">
        <v>2</v>
      </c>
    </row>
    <row r="4094" spans="1:1">
      <c r="A4094" s="22" t="s">
        <v>874</v>
      </c>
    </row>
    <row r="4096" spans="1:1">
      <c r="A4096" s="22" t="s">
        <v>875</v>
      </c>
    </row>
    <row r="4098" spans="1:1">
      <c r="A4098" s="19" t="s">
        <v>423</v>
      </c>
    </row>
    <row r="4100" spans="1:1">
      <c r="A4100" s="19" t="s">
        <v>424</v>
      </c>
    </row>
    <row r="4102" spans="1:1">
      <c r="A4102" s="22" t="s">
        <v>407</v>
      </c>
    </row>
    <row r="4104" spans="1:1">
      <c r="A4104" s="22">
        <v>2</v>
      </c>
    </row>
    <row r="4106" spans="1:1">
      <c r="A4106" s="22" t="s">
        <v>876</v>
      </c>
    </row>
    <row r="4108" spans="1:1">
      <c r="A4108" s="22" t="s">
        <v>646</v>
      </c>
    </row>
    <row r="4110" spans="1:1">
      <c r="A4110" s="19" t="s">
        <v>423</v>
      </c>
    </row>
    <row r="4112" spans="1:1">
      <c r="A4112" s="19" t="s">
        <v>424</v>
      </c>
    </row>
    <row r="4114" spans="1:1">
      <c r="A4114" s="22" t="s">
        <v>407</v>
      </c>
    </row>
    <row r="4116" spans="1:1">
      <c r="A4116" s="22">
        <v>2</v>
      </c>
    </row>
    <row r="4118" spans="1:1">
      <c r="A4118" s="19" t="s">
        <v>877</v>
      </c>
    </row>
    <row r="4120" spans="1:1">
      <c r="A4120" s="22" t="s">
        <v>133</v>
      </c>
    </row>
    <row r="4121" spans="1:1">
      <c r="A4121" s="22" t="s">
        <v>131</v>
      </c>
    </row>
    <row r="4122" spans="1:1">
      <c r="A4122" s="22" t="s">
        <v>389</v>
      </c>
    </row>
    <row r="4124" spans="1:1">
      <c r="A4124" s="19" t="s">
        <v>400</v>
      </c>
    </row>
    <row r="4126" spans="1:1">
      <c r="A4126" s="19" t="s">
        <v>402</v>
      </c>
    </row>
    <row r="4128" spans="1:1">
      <c r="A4128" s="22" t="s">
        <v>420</v>
      </c>
    </row>
    <row r="4130" spans="1:1">
      <c r="A4130" s="22" t="s">
        <v>878</v>
      </c>
    </row>
    <row r="4132" spans="1:1">
      <c r="A4132" s="22" t="s">
        <v>879</v>
      </c>
    </row>
    <row r="4134" spans="1:1">
      <c r="A4134" s="19" t="s">
        <v>406</v>
      </c>
    </row>
    <row r="4136" spans="1:1">
      <c r="A4136" s="22" t="s">
        <v>407</v>
      </c>
    </row>
    <row r="4138" spans="1:1">
      <c r="A4138" s="22">
        <v>2</v>
      </c>
    </row>
    <row r="4140" spans="1:1">
      <c r="A4140" s="22" t="s">
        <v>880</v>
      </c>
    </row>
    <row r="4142" spans="1:1">
      <c r="A4142" s="22" t="s">
        <v>881</v>
      </c>
    </row>
    <row r="4144" spans="1:1">
      <c r="A4144" s="19" t="s">
        <v>423</v>
      </c>
    </row>
    <row r="4146" spans="1:1">
      <c r="A4146" s="19" t="s">
        <v>424</v>
      </c>
    </row>
    <row r="4148" spans="1:1">
      <c r="A4148" s="22" t="s">
        <v>407</v>
      </c>
    </row>
    <row r="4150" spans="1:1">
      <c r="A4150" s="22">
        <v>3</v>
      </c>
    </row>
    <row r="4152" spans="1:1">
      <c r="A4152" s="22" t="s">
        <v>882</v>
      </c>
    </row>
    <row r="4154" spans="1:1">
      <c r="A4154" s="22" t="s">
        <v>471</v>
      </c>
    </row>
    <row r="4156" spans="1:1">
      <c r="A4156" s="19" t="s">
        <v>423</v>
      </c>
    </row>
    <row r="4158" spans="1:1">
      <c r="A4158" s="19" t="s">
        <v>424</v>
      </c>
    </row>
    <row r="4160" spans="1:1">
      <c r="A4160" s="22" t="s">
        <v>407</v>
      </c>
    </row>
    <row r="4162" spans="1:1">
      <c r="A4162" s="22">
        <v>2</v>
      </c>
    </row>
    <row r="4164" spans="1:1">
      <c r="A4164" s="22" t="s">
        <v>883</v>
      </c>
    </row>
    <row r="4166" spans="1:1">
      <c r="A4166" s="22" t="s">
        <v>884</v>
      </c>
    </row>
    <row r="4168" spans="1:1">
      <c r="A4168" s="19" t="s">
        <v>423</v>
      </c>
    </row>
    <row r="4170" spans="1:1">
      <c r="A4170" s="19" t="s">
        <v>424</v>
      </c>
    </row>
    <row r="4172" spans="1:1">
      <c r="A4172" s="22" t="s">
        <v>407</v>
      </c>
    </row>
    <row r="4174" spans="1:1">
      <c r="A4174" s="22">
        <v>2</v>
      </c>
    </row>
    <row r="4176" spans="1:1">
      <c r="A4176" s="22" t="s">
        <v>885</v>
      </c>
    </row>
    <row r="4178" spans="1:1">
      <c r="A4178" s="22" t="s">
        <v>436</v>
      </c>
    </row>
    <row r="4180" spans="1:1">
      <c r="A4180" s="19" t="s">
        <v>423</v>
      </c>
    </row>
    <row r="4182" spans="1:1">
      <c r="A4182" s="19" t="s">
        <v>424</v>
      </c>
    </row>
    <row r="4184" spans="1:1">
      <c r="A4184" s="22" t="s">
        <v>407</v>
      </c>
    </row>
    <row r="4186" spans="1:1">
      <c r="A4186" s="22">
        <v>2</v>
      </c>
    </row>
    <row r="4188" spans="1:1">
      <c r="A4188" s="22" t="s">
        <v>886</v>
      </c>
    </row>
    <row r="4190" spans="1:1">
      <c r="A4190" s="22" t="s">
        <v>492</v>
      </c>
    </row>
    <row r="4192" spans="1:1">
      <c r="A4192" s="19" t="s">
        <v>423</v>
      </c>
    </row>
    <row r="4194" spans="1:1">
      <c r="A4194" s="19" t="s">
        <v>424</v>
      </c>
    </row>
    <row r="4196" spans="1:1">
      <c r="A4196" s="22" t="s">
        <v>407</v>
      </c>
    </row>
    <row r="4198" spans="1:1">
      <c r="A4198" s="22">
        <v>2</v>
      </c>
    </row>
    <row r="4200" spans="1:1">
      <c r="A4200" s="22" t="s">
        <v>887</v>
      </c>
    </row>
    <row r="4202" spans="1:1">
      <c r="A4202" s="22" t="s">
        <v>777</v>
      </c>
    </row>
    <row r="4204" spans="1:1">
      <c r="A4204" s="19" t="s">
        <v>423</v>
      </c>
    </row>
    <row r="4206" spans="1:1">
      <c r="A4206" s="19" t="s">
        <v>424</v>
      </c>
    </row>
    <row r="4208" spans="1:1">
      <c r="A4208" s="22" t="s">
        <v>407</v>
      </c>
    </row>
    <row r="4210" spans="1:1">
      <c r="A4210" s="22">
        <v>2</v>
      </c>
    </row>
    <row r="4212" spans="1:1">
      <c r="A4212" s="22" t="s">
        <v>888</v>
      </c>
    </row>
    <row r="4214" spans="1:1">
      <c r="A4214" s="22" t="s">
        <v>532</v>
      </c>
    </row>
    <row r="4216" spans="1:1">
      <c r="A4216" s="19" t="s">
        <v>423</v>
      </c>
    </row>
    <row r="4218" spans="1:1">
      <c r="A4218" s="19" t="s">
        <v>424</v>
      </c>
    </row>
    <row r="4220" spans="1:1">
      <c r="A4220" s="22" t="s">
        <v>407</v>
      </c>
    </row>
    <row r="4222" spans="1:1">
      <c r="A4222" s="22">
        <v>2</v>
      </c>
    </row>
    <row r="4224" spans="1:1">
      <c r="A4224" s="19" t="s">
        <v>889</v>
      </c>
    </row>
    <row r="4226" spans="1:1">
      <c r="A4226" s="22" t="s">
        <v>133</v>
      </c>
    </row>
    <row r="4227" spans="1:1">
      <c r="A4227" s="22" t="s">
        <v>131</v>
      </c>
    </row>
    <row r="4228" spans="1:1">
      <c r="A4228" s="22" t="s">
        <v>389</v>
      </c>
    </row>
    <row r="4230" spans="1:1">
      <c r="A4230" s="19" t="s">
        <v>400</v>
      </c>
    </row>
    <row r="4232" spans="1:1">
      <c r="A4232" s="19" t="s">
        <v>402</v>
      </c>
    </row>
    <row r="4234" spans="1:1">
      <c r="A4234" s="22" t="s">
        <v>420</v>
      </c>
    </row>
    <row r="4236" spans="1:1">
      <c r="A4236" s="22" t="s">
        <v>890</v>
      </c>
    </row>
    <row r="4238" spans="1:1">
      <c r="A4238" s="22" t="s">
        <v>523</v>
      </c>
    </row>
    <row r="4240" spans="1:1">
      <c r="A4240" s="19" t="s">
        <v>406</v>
      </c>
    </row>
    <row r="4242" spans="1:1">
      <c r="A4242" s="22" t="s">
        <v>407</v>
      </c>
    </row>
    <row r="4244" spans="1:1">
      <c r="A4244" s="22">
        <v>2</v>
      </c>
    </row>
    <row r="4246" spans="1:1">
      <c r="A4246" s="22" t="s">
        <v>891</v>
      </c>
    </row>
    <row r="4248" spans="1:1">
      <c r="A4248" s="22" t="s">
        <v>448</v>
      </c>
    </row>
    <row r="4250" spans="1:1">
      <c r="A4250" s="19" t="s">
        <v>423</v>
      </c>
    </row>
    <row r="4252" spans="1:1">
      <c r="A4252" s="19" t="s">
        <v>424</v>
      </c>
    </row>
    <row r="4254" spans="1:1">
      <c r="A4254" s="22" t="s">
        <v>407</v>
      </c>
    </row>
    <row r="4256" spans="1:1">
      <c r="A4256" s="22">
        <v>2</v>
      </c>
    </row>
    <row r="4258" spans="1:1">
      <c r="A4258" s="22" t="s">
        <v>892</v>
      </c>
    </row>
    <row r="4260" spans="1:1">
      <c r="A4260" s="22" t="s">
        <v>532</v>
      </c>
    </row>
    <row r="4262" spans="1:1">
      <c r="A4262" s="19" t="s">
        <v>423</v>
      </c>
    </row>
    <row r="4264" spans="1:1">
      <c r="A4264" s="19" t="s">
        <v>424</v>
      </c>
    </row>
    <row r="4266" spans="1:1">
      <c r="A4266" s="22" t="s">
        <v>407</v>
      </c>
    </row>
    <row r="4268" spans="1:1">
      <c r="A4268" s="22">
        <v>2</v>
      </c>
    </row>
    <row r="4270" spans="1:1">
      <c r="A4270" s="22" t="s">
        <v>893</v>
      </c>
    </row>
    <row r="4272" spans="1:1">
      <c r="A4272" s="22" t="s">
        <v>504</v>
      </c>
    </row>
    <row r="4274" spans="1:1">
      <c r="A4274" s="19" t="s">
        <v>423</v>
      </c>
    </row>
    <row r="4276" spans="1:1">
      <c r="A4276" s="19" t="s">
        <v>424</v>
      </c>
    </row>
    <row r="4278" spans="1:1">
      <c r="A4278" s="22" t="s">
        <v>407</v>
      </c>
    </row>
    <row r="4280" spans="1:1">
      <c r="A4280" s="22">
        <v>2</v>
      </c>
    </row>
    <row r="4282" spans="1:1">
      <c r="A4282" s="22" t="s">
        <v>894</v>
      </c>
    </row>
    <row r="4284" spans="1:1">
      <c r="A4284" s="22" t="s">
        <v>481</v>
      </c>
    </row>
    <row r="4286" spans="1:1">
      <c r="A4286" s="19" t="s">
        <v>423</v>
      </c>
    </row>
    <row r="4288" spans="1:1">
      <c r="A4288" s="19" t="s">
        <v>424</v>
      </c>
    </row>
    <row r="4290" spans="1:1">
      <c r="A4290" s="22" t="s">
        <v>407</v>
      </c>
    </row>
    <row r="4292" spans="1:1">
      <c r="A4292" s="22">
        <v>2</v>
      </c>
    </row>
    <row r="4294" spans="1:1">
      <c r="A4294" s="22" t="s">
        <v>895</v>
      </c>
    </row>
    <row r="4296" spans="1:1">
      <c r="A4296" s="22" t="s">
        <v>650</v>
      </c>
    </row>
    <row r="4298" spans="1:1">
      <c r="A4298" s="19" t="s">
        <v>423</v>
      </c>
    </row>
    <row r="4300" spans="1:1">
      <c r="A4300" s="19" t="s">
        <v>424</v>
      </c>
    </row>
    <row r="4302" spans="1:1">
      <c r="A4302" s="22" t="s">
        <v>407</v>
      </c>
    </row>
    <row r="4304" spans="1:1">
      <c r="A4304" s="22">
        <v>6</v>
      </c>
    </row>
    <row r="4306" spans="1:1">
      <c r="A4306" s="22" t="s">
        <v>896</v>
      </c>
    </row>
    <row r="4308" spans="1:1">
      <c r="A4308" s="22" t="s">
        <v>469</v>
      </c>
    </row>
    <row r="4310" spans="1:1">
      <c r="A4310" s="19" t="s">
        <v>423</v>
      </c>
    </row>
    <row r="4312" spans="1:1">
      <c r="A4312" s="19" t="s">
        <v>424</v>
      </c>
    </row>
    <row r="4314" spans="1:1">
      <c r="A4314" s="22" t="s">
        <v>407</v>
      </c>
    </row>
    <row r="4316" spans="1:1">
      <c r="A4316" s="22">
        <v>2</v>
      </c>
    </row>
    <row r="4318" spans="1:1">
      <c r="A4318" s="22" t="s">
        <v>897</v>
      </c>
    </row>
    <row r="4320" spans="1:1">
      <c r="A4320" s="22" t="s">
        <v>456</v>
      </c>
    </row>
    <row r="4322" spans="1:1">
      <c r="A4322" s="19" t="s">
        <v>423</v>
      </c>
    </row>
    <row r="4324" spans="1:1">
      <c r="A4324" s="19" t="s">
        <v>424</v>
      </c>
    </row>
    <row r="4326" spans="1:1">
      <c r="A4326" s="22" t="s">
        <v>407</v>
      </c>
    </row>
    <row r="4328" spans="1:1">
      <c r="A4328" s="22">
        <v>2</v>
      </c>
    </row>
    <row r="4330" spans="1:1">
      <c r="A4330" s="19" t="s">
        <v>898</v>
      </c>
    </row>
    <row r="4332" spans="1:1">
      <c r="A4332" s="22" t="s">
        <v>133</v>
      </c>
    </row>
    <row r="4333" spans="1:1">
      <c r="A4333" s="22" t="s">
        <v>131</v>
      </c>
    </row>
    <row r="4334" spans="1:1">
      <c r="A4334" s="22" t="s">
        <v>389</v>
      </c>
    </row>
    <row r="4336" spans="1:1">
      <c r="A4336" s="19" t="s">
        <v>400</v>
      </c>
    </row>
    <row r="4338" spans="1:1">
      <c r="A4338" s="19" t="s">
        <v>402</v>
      </c>
    </row>
    <row r="4340" spans="1:1">
      <c r="A4340" s="22" t="s">
        <v>420</v>
      </c>
    </row>
    <row r="4342" spans="1:1">
      <c r="A4342" s="22" t="s">
        <v>899</v>
      </c>
    </row>
    <row r="4344" spans="1:1">
      <c r="A4344" s="22" t="s">
        <v>741</v>
      </c>
    </row>
    <row r="4346" spans="1:1">
      <c r="A4346" s="19" t="s">
        <v>406</v>
      </c>
    </row>
    <row r="4348" spans="1:1">
      <c r="A4348" s="22" t="s">
        <v>407</v>
      </c>
    </row>
    <row r="4350" spans="1:1">
      <c r="A4350" s="22">
        <v>3</v>
      </c>
    </row>
    <row r="4352" spans="1:1">
      <c r="A4352" s="22" t="s">
        <v>900</v>
      </c>
    </row>
    <row r="4354" spans="1:1">
      <c r="A4354" s="22" t="s">
        <v>741</v>
      </c>
    </row>
    <row r="4356" spans="1:1">
      <c r="A4356" s="19" t="s">
        <v>423</v>
      </c>
    </row>
    <row r="4358" spans="1:1">
      <c r="A4358" s="19" t="s">
        <v>424</v>
      </c>
    </row>
    <row r="4360" spans="1:1">
      <c r="A4360" s="22" t="s">
        <v>407</v>
      </c>
    </row>
    <row r="4362" spans="1:1">
      <c r="A4362" s="22">
        <v>3</v>
      </c>
    </row>
    <row r="4364" spans="1:1">
      <c r="A4364" s="22" t="s">
        <v>901</v>
      </c>
    </row>
    <row r="4366" spans="1:1">
      <c r="A4366" s="22" t="s">
        <v>672</v>
      </c>
    </row>
    <row r="4368" spans="1:1">
      <c r="A4368" s="19" t="s">
        <v>423</v>
      </c>
    </row>
    <row r="4370" spans="1:1">
      <c r="A4370" s="19" t="s">
        <v>424</v>
      </c>
    </row>
    <row r="4372" spans="1:1">
      <c r="A4372" s="22" t="s">
        <v>407</v>
      </c>
    </row>
    <row r="4374" spans="1:1">
      <c r="A4374" s="22">
        <v>3</v>
      </c>
    </row>
    <row r="4376" spans="1:1">
      <c r="A4376" s="22" t="s">
        <v>902</v>
      </c>
    </row>
    <row r="4378" spans="1:1">
      <c r="A4378" s="22" t="s">
        <v>643</v>
      </c>
    </row>
    <row r="4380" spans="1:1">
      <c r="A4380" s="19" t="s">
        <v>423</v>
      </c>
    </row>
    <row r="4382" spans="1:1">
      <c r="A4382" s="19" t="s">
        <v>424</v>
      </c>
    </row>
    <row r="4384" spans="1:1">
      <c r="A4384" s="22" t="s">
        <v>407</v>
      </c>
    </row>
    <row r="4386" spans="1:1">
      <c r="A4386" s="22">
        <v>3</v>
      </c>
    </row>
    <row r="4388" spans="1:1">
      <c r="A4388" s="22" t="s">
        <v>903</v>
      </c>
    </row>
    <row r="4390" spans="1:1">
      <c r="A4390" s="22" t="s">
        <v>904</v>
      </c>
    </row>
    <row r="4392" spans="1:1">
      <c r="A4392" s="19" t="s">
        <v>423</v>
      </c>
    </row>
    <row r="4394" spans="1:1">
      <c r="A4394" s="19" t="s">
        <v>424</v>
      </c>
    </row>
    <row r="4396" spans="1:1">
      <c r="A4396" s="22" t="s">
        <v>407</v>
      </c>
    </row>
    <row r="4398" spans="1:1">
      <c r="A4398" s="22">
        <v>2</v>
      </c>
    </row>
    <row r="4400" spans="1:1">
      <c r="A4400" s="22" t="s">
        <v>905</v>
      </c>
    </row>
    <row r="4402" spans="1:1">
      <c r="A4402" s="22" t="s">
        <v>906</v>
      </c>
    </row>
    <row r="4404" spans="1:1">
      <c r="A4404" s="19" t="s">
        <v>423</v>
      </c>
    </row>
    <row r="4406" spans="1:1">
      <c r="A4406" s="19" t="s">
        <v>424</v>
      </c>
    </row>
    <row r="4408" spans="1:1">
      <c r="A4408" s="22" t="s">
        <v>407</v>
      </c>
    </row>
    <row r="4410" spans="1:1">
      <c r="A4410" s="22">
        <v>3</v>
      </c>
    </row>
    <row r="4412" spans="1:1">
      <c r="A4412" s="22" t="s">
        <v>907</v>
      </c>
    </row>
    <row r="4414" spans="1:1">
      <c r="A4414" s="22" t="s">
        <v>906</v>
      </c>
    </row>
    <row r="4416" spans="1:1">
      <c r="A4416" s="19" t="s">
        <v>423</v>
      </c>
    </row>
    <row r="4418" spans="1:1">
      <c r="A4418" s="19" t="s">
        <v>424</v>
      </c>
    </row>
    <row r="4420" spans="1:1">
      <c r="A4420" s="22" t="s">
        <v>407</v>
      </c>
    </row>
    <row r="4422" spans="1:1">
      <c r="A4422" s="22">
        <v>3</v>
      </c>
    </row>
    <row r="4424" spans="1:1">
      <c r="A4424" s="22" t="s">
        <v>908</v>
      </c>
    </row>
    <row r="4426" spans="1:1">
      <c r="A4426" s="22" t="s">
        <v>747</v>
      </c>
    </row>
    <row r="4428" spans="1:1">
      <c r="A4428" s="19" t="s">
        <v>423</v>
      </c>
    </row>
    <row r="4430" spans="1:1">
      <c r="A4430" s="19" t="s">
        <v>424</v>
      </c>
    </row>
    <row r="4432" spans="1:1">
      <c r="A4432" s="22" t="s">
        <v>407</v>
      </c>
    </row>
    <row r="4434" spans="1:1">
      <c r="A4434" s="22">
        <v>3</v>
      </c>
    </row>
    <row r="4436" spans="1:1">
      <c r="A4436" s="19" t="s">
        <v>909</v>
      </c>
    </row>
    <row r="4438" spans="1:1">
      <c r="A4438" s="22" t="s">
        <v>133</v>
      </c>
    </row>
    <row r="4439" spans="1:1">
      <c r="A4439" s="22" t="s">
        <v>131</v>
      </c>
    </row>
    <row r="4440" spans="1:1">
      <c r="A4440" s="22" t="s">
        <v>389</v>
      </c>
    </row>
    <row r="4442" spans="1:1">
      <c r="A4442" s="19" t="s">
        <v>400</v>
      </c>
    </row>
    <row r="4444" spans="1:1">
      <c r="A4444" s="19" t="s">
        <v>402</v>
      </c>
    </row>
    <row r="4446" spans="1:1">
      <c r="A4446" s="22" t="s">
        <v>420</v>
      </c>
    </row>
    <row r="4448" spans="1:1">
      <c r="A4448" s="22" t="s">
        <v>910</v>
      </c>
    </row>
    <row r="4450" spans="1:1">
      <c r="A4450" s="22" t="s">
        <v>405</v>
      </c>
    </row>
    <row r="4452" spans="1:1">
      <c r="A4452" s="19" t="s">
        <v>406</v>
      </c>
    </row>
    <row r="4454" spans="1:1">
      <c r="A4454" s="22" t="s">
        <v>407</v>
      </c>
    </row>
    <row r="4456" spans="1:1">
      <c r="A4456" s="22">
        <v>2</v>
      </c>
    </row>
    <row r="4458" spans="1:1">
      <c r="A4458" s="22" t="s">
        <v>911</v>
      </c>
    </row>
    <row r="4460" spans="1:1">
      <c r="A4460" s="22" t="s">
        <v>538</v>
      </c>
    </row>
    <row r="4462" spans="1:1">
      <c r="A4462" s="19" t="s">
        <v>423</v>
      </c>
    </row>
    <row r="4464" spans="1:1">
      <c r="A4464" s="19" t="s">
        <v>424</v>
      </c>
    </row>
    <row r="4466" spans="1:1">
      <c r="A4466" s="22" t="s">
        <v>407</v>
      </c>
    </row>
    <row r="4468" spans="1:1">
      <c r="A4468" s="22">
        <v>2</v>
      </c>
    </row>
    <row r="4470" spans="1:1">
      <c r="A4470" s="22" t="s">
        <v>912</v>
      </c>
    </row>
    <row r="4472" spans="1:1">
      <c r="A4472" s="22" t="s">
        <v>456</v>
      </c>
    </row>
    <row r="4474" spans="1:1">
      <c r="A4474" s="19" t="s">
        <v>423</v>
      </c>
    </row>
    <row r="4476" spans="1:1">
      <c r="A4476" s="19" t="s">
        <v>424</v>
      </c>
    </row>
    <row r="4478" spans="1:1">
      <c r="A4478" s="22" t="s">
        <v>407</v>
      </c>
    </row>
    <row r="4480" spans="1:1">
      <c r="A4480" s="22">
        <v>2</v>
      </c>
    </row>
    <row r="4482" spans="1:1">
      <c r="A4482" s="22" t="s">
        <v>913</v>
      </c>
    </row>
    <row r="4484" spans="1:1">
      <c r="A4484" s="22" t="s">
        <v>422</v>
      </c>
    </row>
    <row r="4486" spans="1:1">
      <c r="A4486" s="19" t="s">
        <v>423</v>
      </c>
    </row>
    <row r="4488" spans="1:1">
      <c r="A4488" s="19" t="s">
        <v>424</v>
      </c>
    </row>
    <row r="4490" spans="1:1">
      <c r="A4490" s="22" t="s">
        <v>407</v>
      </c>
    </row>
    <row r="4492" spans="1:1">
      <c r="A4492" s="22">
        <v>2</v>
      </c>
    </row>
    <row r="4494" spans="1:1">
      <c r="A4494" s="22" t="s">
        <v>914</v>
      </c>
    </row>
    <row r="4496" spans="1:1">
      <c r="A4496" s="22" t="s">
        <v>441</v>
      </c>
    </row>
    <row r="4498" spans="1:1">
      <c r="A4498" s="19" t="s">
        <v>423</v>
      </c>
    </row>
    <row r="4500" spans="1:1">
      <c r="A4500" s="19" t="s">
        <v>424</v>
      </c>
    </row>
    <row r="4502" spans="1:1">
      <c r="A4502" s="22" t="s">
        <v>407</v>
      </c>
    </row>
    <row r="4504" spans="1:1">
      <c r="A4504" s="22">
        <v>2</v>
      </c>
    </row>
    <row r="4506" spans="1:1">
      <c r="A4506" s="22" t="s">
        <v>915</v>
      </c>
    </row>
    <row r="4508" spans="1:1">
      <c r="A4508" s="22" t="s">
        <v>418</v>
      </c>
    </row>
    <row r="4510" spans="1:1">
      <c r="A4510" s="19" t="s">
        <v>423</v>
      </c>
    </row>
    <row r="4512" spans="1:1">
      <c r="A4512" s="19" t="s">
        <v>424</v>
      </c>
    </row>
    <row r="4514" spans="1:1">
      <c r="A4514" s="22" t="s">
        <v>407</v>
      </c>
    </row>
    <row r="4516" spans="1:1">
      <c r="A4516" s="22">
        <v>2</v>
      </c>
    </row>
    <row r="4518" spans="1:1">
      <c r="A4518" s="22" t="s">
        <v>916</v>
      </c>
    </row>
    <row r="4520" spans="1:1">
      <c r="A4520" s="22" t="s">
        <v>432</v>
      </c>
    </row>
    <row r="4522" spans="1:1">
      <c r="A4522" s="19" t="s">
        <v>423</v>
      </c>
    </row>
    <row r="4524" spans="1:1">
      <c r="A4524" s="19" t="s">
        <v>424</v>
      </c>
    </row>
    <row r="4526" spans="1:1">
      <c r="A4526" s="22" t="s">
        <v>407</v>
      </c>
    </row>
    <row r="4528" spans="1:1">
      <c r="A4528" s="22">
        <v>1</v>
      </c>
    </row>
    <row r="4530" spans="1:1">
      <c r="A4530" s="22" t="s">
        <v>917</v>
      </c>
    </row>
    <row r="4532" spans="1:1">
      <c r="A4532" s="22" t="s">
        <v>428</v>
      </c>
    </row>
    <row r="4534" spans="1:1">
      <c r="A4534" s="19" t="s">
        <v>423</v>
      </c>
    </row>
    <row r="4536" spans="1:1">
      <c r="A4536" s="19" t="s">
        <v>424</v>
      </c>
    </row>
    <row r="4538" spans="1:1">
      <c r="A4538" s="22" t="s">
        <v>407</v>
      </c>
    </row>
    <row r="4540" spans="1:1">
      <c r="A4540" s="22">
        <v>2</v>
      </c>
    </row>
    <row r="4542" spans="1:1">
      <c r="A4542" s="19" t="s">
        <v>918</v>
      </c>
    </row>
    <row r="4544" spans="1:1">
      <c r="A4544" s="22" t="s">
        <v>133</v>
      </c>
    </row>
    <row r="4545" spans="1:1">
      <c r="A4545" s="22" t="s">
        <v>131</v>
      </c>
    </row>
    <row r="4546" spans="1:1">
      <c r="A4546" s="22" t="s">
        <v>389</v>
      </c>
    </row>
    <row r="4548" spans="1:1">
      <c r="A4548" s="19" t="s">
        <v>400</v>
      </c>
    </row>
    <row r="4550" spans="1:1">
      <c r="A4550" s="19" t="s">
        <v>402</v>
      </c>
    </row>
    <row r="4552" spans="1:1">
      <c r="A4552" s="22" t="s">
        <v>420</v>
      </c>
    </row>
    <row r="4554" spans="1:1">
      <c r="A4554" s="22" t="s">
        <v>919</v>
      </c>
    </row>
    <row r="4556" spans="1:1">
      <c r="A4556" s="22" t="s">
        <v>422</v>
      </c>
    </row>
    <row r="4558" spans="1:1">
      <c r="A4558" s="19" t="s">
        <v>406</v>
      </c>
    </row>
    <row r="4560" spans="1:1">
      <c r="A4560" s="22" t="s">
        <v>407</v>
      </c>
    </row>
    <row r="4562" spans="1:1">
      <c r="A4562" s="22">
        <v>1</v>
      </c>
    </row>
    <row r="4564" spans="1:1">
      <c r="A4564" s="22" t="s">
        <v>920</v>
      </c>
    </row>
    <row r="4566" spans="1:1">
      <c r="A4566" s="22" t="s">
        <v>430</v>
      </c>
    </row>
    <row r="4568" spans="1:1">
      <c r="A4568" s="19" t="s">
        <v>423</v>
      </c>
    </row>
    <row r="4570" spans="1:1">
      <c r="A4570" s="19" t="s">
        <v>424</v>
      </c>
    </row>
    <row r="4572" spans="1:1">
      <c r="A4572" s="22" t="s">
        <v>407</v>
      </c>
    </row>
    <row r="4574" spans="1:1">
      <c r="A4574" s="22">
        <v>1</v>
      </c>
    </row>
    <row r="4576" spans="1:1">
      <c r="A4576" s="22" t="s">
        <v>921</v>
      </c>
    </row>
    <row r="4578" spans="1:1">
      <c r="A4578" s="22" t="s">
        <v>441</v>
      </c>
    </row>
    <row r="4580" spans="1:1">
      <c r="A4580" s="19" t="s">
        <v>423</v>
      </c>
    </row>
    <row r="4582" spans="1:1">
      <c r="A4582" s="19" t="s">
        <v>424</v>
      </c>
    </row>
    <row r="4584" spans="1:1">
      <c r="A4584" s="22" t="s">
        <v>407</v>
      </c>
    </row>
    <row r="4586" spans="1:1">
      <c r="A4586" s="22">
        <v>2</v>
      </c>
    </row>
    <row r="4588" spans="1:1">
      <c r="A4588" s="22" t="s">
        <v>922</v>
      </c>
    </row>
    <row r="4590" spans="1:1">
      <c r="A4590" s="22" t="s">
        <v>428</v>
      </c>
    </row>
    <row r="4592" spans="1:1">
      <c r="A4592" s="19" t="s">
        <v>423</v>
      </c>
    </row>
    <row r="4594" spans="1:1">
      <c r="A4594" s="19" t="s">
        <v>424</v>
      </c>
    </row>
    <row r="4596" spans="1:1">
      <c r="A4596" s="22" t="s">
        <v>407</v>
      </c>
    </row>
    <row r="4598" spans="1:1">
      <c r="A4598" s="22">
        <v>3</v>
      </c>
    </row>
    <row r="4600" spans="1:1">
      <c r="A4600" s="22" t="s">
        <v>923</v>
      </c>
    </row>
    <row r="4602" spans="1:1">
      <c r="A4602" s="22" t="s">
        <v>418</v>
      </c>
    </row>
    <row r="4604" spans="1:1">
      <c r="A4604" s="19" t="s">
        <v>423</v>
      </c>
    </row>
    <row r="4606" spans="1:1">
      <c r="A4606" s="19" t="s">
        <v>424</v>
      </c>
    </row>
    <row r="4608" spans="1:1">
      <c r="A4608" s="22" t="s">
        <v>407</v>
      </c>
    </row>
    <row r="4610" spans="1:1">
      <c r="A4610" s="22">
        <v>2</v>
      </c>
    </row>
    <row r="4612" spans="1:1">
      <c r="A4612" s="22" t="s">
        <v>924</v>
      </c>
    </row>
    <row r="4614" spans="1:1">
      <c r="A4614" s="22" t="s">
        <v>548</v>
      </c>
    </row>
    <row r="4616" spans="1:1">
      <c r="A4616" s="19" t="s">
        <v>423</v>
      </c>
    </row>
    <row r="4618" spans="1:1">
      <c r="A4618" s="19" t="s">
        <v>424</v>
      </c>
    </row>
    <row r="4620" spans="1:1">
      <c r="A4620" s="22" t="s">
        <v>407</v>
      </c>
    </row>
    <row r="4622" spans="1:1">
      <c r="A4622" s="22">
        <v>6</v>
      </c>
    </row>
    <row r="4624" spans="1:1">
      <c r="A4624" s="22" t="s">
        <v>925</v>
      </c>
    </row>
    <row r="4626" spans="1:1">
      <c r="A4626" s="22" t="s">
        <v>926</v>
      </c>
    </row>
    <row r="4628" spans="1:1">
      <c r="A4628" s="19" t="s">
        <v>423</v>
      </c>
    </row>
    <row r="4630" spans="1:1">
      <c r="A4630" s="19" t="s">
        <v>424</v>
      </c>
    </row>
    <row r="4632" spans="1:1">
      <c r="A4632" s="22" t="s">
        <v>407</v>
      </c>
    </row>
    <row r="4634" spans="1:1">
      <c r="A4634" s="22">
        <v>2</v>
      </c>
    </row>
    <row r="4636" spans="1:1">
      <c r="A4636" s="22" t="s">
        <v>927</v>
      </c>
    </row>
    <row r="4638" spans="1:1">
      <c r="A4638" s="22" t="s">
        <v>438</v>
      </c>
    </row>
    <row r="4640" spans="1:1">
      <c r="A4640" s="19" t="s">
        <v>423</v>
      </c>
    </row>
    <row r="4642" spans="1:1">
      <c r="A4642" s="19" t="s">
        <v>424</v>
      </c>
    </row>
    <row r="4644" spans="1:1">
      <c r="A4644" s="22" t="s">
        <v>407</v>
      </c>
    </row>
    <row r="4646" spans="1:1">
      <c r="A4646" s="22">
        <v>2</v>
      </c>
    </row>
    <row r="4648" spans="1:1">
      <c r="A4648" s="19" t="s">
        <v>928</v>
      </c>
    </row>
    <row r="4650" spans="1:1">
      <c r="A4650" s="22" t="s">
        <v>133</v>
      </c>
    </row>
    <row r="4651" spans="1:1">
      <c r="A4651" s="22" t="s">
        <v>131</v>
      </c>
    </row>
    <row r="4652" spans="1:1">
      <c r="A4652" s="22" t="s">
        <v>389</v>
      </c>
    </row>
    <row r="4654" spans="1:1">
      <c r="A4654" s="19" t="s">
        <v>400</v>
      </c>
    </row>
    <row r="4656" spans="1:1">
      <c r="A4656" s="19" t="s">
        <v>402</v>
      </c>
    </row>
    <row r="4658" spans="1:1">
      <c r="A4658" s="22" t="s">
        <v>420</v>
      </c>
    </row>
    <row r="4660" spans="1:1">
      <c r="A4660" s="22" t="s">
        <v>929</v>
      </c>
    </row>
    <row r="4662" spans="1:1">
      <c r="A4662" s="22" t="s">
        <v>930</v>
      </c>
    </row>
    <row r="4664" spans="1:1">
      <c r="A4664" s="19" t="s">
        <v>406</v>
      </c>
    </row>
    <row r="4666" spans="1:1">
      <c r="A4666" s="22" t="s">
        <v>407</v>
      </c>
    </row>
    <row r="4668" spans="1:1">
      <c r="A4668" s="22">
        <v>2</v>
      </c>
    </row>
    <row r="4670" spans="1:1">
      <c r="A4670" s="22" t="s">
        <v>931</v>
      </c>
    </row>
    <row r="4672" spans="1:1">
      <c r="A4672" s="22" t="s">
        <v>446</v>
      </c>
    </row>
    <row r="4674" spans="1:1">
      <c r="A4674" s="19" t="s">
        <v>423</v>
      </c>
    </row>
    <row r="4676" spans="1:1">
      <c r="A4676" s="19" t="s">
        <v>424</v>
      </c>
    </row>
    <row r="4678" spans="1:1">
      <c r="A4678" s="22" t="s">
        <v>407</v>
      </c>
    </row>
    <row r="4680" spans="1:1">
      <c r="A4680" s="22">
        <v>2</v>
      </c>
    </row>
    <row r="4682" spans="1:1">
      <c r="A4682" s="22" t="s">
        <v>932</v>
      </c>
    </row>
    <row r="4684" spans="1:1">
      <c r="A4684" s="22" t="s">
        <v>665</v>
      </c>
    </row>
    <row r="4686" spans="1:1">
      <c r="A4686" s="19" t="s">
        <v>423</v>
      </c>
    </row>
    <row r="4688" spans="1:1">
      <c r="A4688" s="19" t="s">
        <v>424</v>
      </c>
    </row>
    <row r="4690" spans="1:1">
      <c r="A4690" s="22" t="s">
        <v>407</v>
      </c>
    </row>
    <row r="4692" spans="1:1">
      <c r="A4692" s="22">
        <v>2</v>
      </c>
    </row>
    <row r="4694" spans="1:1">
      <c r="A4694" s="22" t="s">
        <v>933</v>
      </c>
    </row>
    <row r="4696" spans="1:1">
      <c r="A4696" s="22" t="s">
        <v>446</v>
      </c>
    </row>
    <row r="4698" spans="1:1">
      <c r="A4698" s="19" t="s">
        <v>423</v>
      </c>
    </row>
    <row r="4700" spans="1:1">
      <c r="A4700" s="19" t="s">
        <v>424</v>
      </c>
    </row>
    <row r="4702" spans="1:1">
      <c r="A4702" s="22" t="s">
        <v>407</v>
      </c>
    </row>
    <row r="4704" spans="1:1">
      <c r="A4704" s="22">
        <v>2</v>
      </c>
    </row>
    <row r="4706" spans="1:1">
      <c r="A4706" s="22" t="s">
        <v>934</v>
      </c>
    </row>
    <row r="4708" spans="1:1">
      <c r="A4708" s="22" t="s">
        <v>935</v>
      </c>
    </row>
    <row r="4710" spans="1:1">
      <c r="A4710" s="19" t="s">
        <v>423</v>
      </c>
    </row>
    <row r="4712" spans="1:1">
      <c r="A4712" s="19" t="s">
        <v>424</v>
      </c>
    </row>
    <row r="4714" spans="1:1">
      <c r="A4714" s="22" t="s">
        <v>407</v>
      </c>
    </row>
    <row r="4716" spans="1:1">
      <c r="A4716" s="22">
        <v>2</v>
      </c>
    </row>
    <row r="4718" spans="1:1">
      <c r="A4718" s="22" t="s">
        <v>936</v>
      </c>
    </row>
    <row r="4720" spans="1:1">
      <c r="A4720" s="22" t="s">
        <v>937</v>
      </c>
    </row>
    <row r="4722" spans="1:1">
      <c r="A4722" s="19" t="s">
        <v>423</v>
      </c>
    </row>
    <row r="4724" spans="1:1">
      <c r="A4724" s="19" t="s">
        <v>424</v>
      </c>
    </row>
    <row r="4726" spans="1:1">
      <c r="A4726" s="22" t="s">
        <v>407</v>
      </c>
    </row>
    <row r="4728" spans="1:1">
      <c r="A4728" s="22">
        <v>3</v>
      </c>
    </row>
    <row r="4730" spans="1:1">
      <c r="A4730" s="22" t="s">
        <v>938</v>
      </c>
    </row>
    <row r="4732" spans="1:1">
      <c r="A4732" s="22" t="s">
        <v>871</v>
      </c>
    </row>
    <row r="4734" spans="1:1">
      <c r="A4734" s="19" t="s">
        <v>423</v>
      </c>
    </row>
    <row r="4736" spans="1:1">
      <c r="A4736" s="19" t="s">
        <v>424</v>
      </c>
    </row>
    <row r="4738" spans="1:1">
      <c r="A4738" s="22" t="s">
        <v>407</v>
      </c>
    </row>
    <row r="4740" spans="1:1">
      <c r="A4740" s="22">
        <v>2</v>
      </c>
    </row>
    <row r="4742" spans="1:1">
      <c r="A4742" s="22" t="s">
        <v>939</v>
      </c>
    </row>
    <row r="4744" spans="1:1">
      <c r="A4744" s="22" t="s">
        <v>432</v>
      </c>
    </row>
    <row r="4746" spans="1:1">
      <c r="A4746" s="19" t="s">
        <v>423</v>
      </c>
    </row>
    <row r="4748" spans="1:1">
      <c r="A4748" s="19" t="s">
        <v>424</v>
      </c>
    </row>
    <row r="4750" spans="1:1">
      <c r="A4750" s="22" t="s">
        <v>407</v>
      </c>
    </row>
    <row r="4752" spans="1:1">
      <c r="A4752" s="22">
        <v>2</v>
      </c>
    </row>
    <row r="4754" spans="1:1">
      <c r="A4754" s="19" t="s">
        <v>940</v>
      </c>
    </row>
    <row r="4756" spans="1:1">
      <c r="A4756" s="22" t="s">
        <v>133</v>
      </c>
    </row>
    <row r="4757" spans="1:1">
      <c r="A4757" s="22" t="s">
        <v>131</v>
      </c>
    </row>
    <row r="4758" spans="1:1">
      <c r="A4758" s="22" t="s">
        <v>389</v>
      </c>
    </row>
    <row r="4760" spans="1:1">
      <c r="A4760" s="19" t="s">
        <v>400</v>
      </c>
    </row>
    <row r="4762" spans="1:1">
      <c r="A4762" s="19" t="s">
        <v>402</v>
      </c>
    </row>
    <row r="4764" spans="1:1">
      <c r="A4764" s="22" t="s">
        <v>420</v>
      </c>
    </row>
    <row r="4766" spans="1:1">
      <c r="A4766" s="22" t="s">
        <v>941</v>
      </c>
    </row>
    <row r="4768" spans="1:1">
      <c r="A4768" s="22" t="s">
        <v>523</v>
      </c>
    </row>
    <row r="4770" spans="1:1">
      <c r="A4770" s="19" t="s">
        <v>406</v>
      </c>
    </row>
    <row r="4772" spans="1:1">
      <c r="A4772" s="22" t="s">
        <v>407</v>
      </c>
    </row>
    <row r="4774" spans="1:1">
      <c r="A4774" s="22">
        <v>2</v>
      </c>
    </row>
    <row r="4776" spans="1:1">
      <c r="A4776" s="22" t="s">
        <v>942</v>
      </c>
    </row>
    <row r="4778" spans="1:1">
      <c r="A4778" s="22" t="s">
        <v>510</v>
      </c>
    </row>
    <row r="4780" spans="1:1">
      <c r="A4780" s="19" t="s">
        <v>423</v>
      </c>
    </row>
    <row r="4782" spans="1:1">
      <c r="A4782" s="19" t="s">
        <v>424</v>
      </c>
    </row>
    <row r="4784" spans="1:1">
      <c r="A4784" s="22" t="s">
        <v>407</v>
      </c>
    </row>
    <row r="4786" spans="1:1">
      <c r="A4786" s="22">
        <v>2</v>
      </c>
    </row>
    <row r="4788" spans="1:1">
      <c r="A4788" s="22" t="s">
        <v>943</v>
      </c>
    </row>
    <row r="4790" spans="1:1">
      <c r="A4790" s="22" t="s">
        <v>485</v>
      </c>
    </row>
    <row r="4792" spans="1:1">
      <c r="A4792" s="19" t="s">
        <v>423</v>
      </c>
    </row>
    <row r="4794" spans="1:1">
      <c r="A4794" s="19" t="s">
        <v>424</v>
      </c>
    </row>
    <row r="4796" spans="1:1">
      <c r="A4796" s="22" t="s">
        <v>407</v>
      </c>
    </row>
    <row r="4798" spans="1:1">
      <c r="A4798" s="22">
        <v>2</v>
      </c>
    </row>
    <row r="4800" spans="1:1">
      <c r="A4800" s="22" t="s">
        <v>944</v>
      </c>
    </row>
    <row r="4802" spans="1:1">
      <c r="A4802" s="22" t="s">
        <v>456</v>
      </c>
    </row>
    <row r="4804" spans="1:1">
      <c r="A4804" s="19" t="s">
        <v>423</v>
      </c>
    </row>
    <row r="4806" spans="1:1">
      <c r="A4806" s="19" t="s">
        <v>424</v>
      </c>
    </row>
    <row r="4808" spans="1:1">
      <c r="A4808" s="22" t="s">
        <v>407</v>
      </c>
    </row>
    <row r="4810" spans="1:1">
      <c r="A4810" s="22">
        <v>2</v>
      </c>
    </row>
    <row r="4812" spans="1:1">
      <c r="A4812" s="22" t="s">
        <v>945</v>
      </c>
    </row>
    <row r="4814" spans="1:1">
      <c r="A4814" s="22" t="s">
        <v>770</v>
      </c>
    </row>
    <row r="4816" spans="1:1">
      <c r="A4816" s="19" t="s">
        <v>423</v>
      </c>
    </row>
    <row r="4818" spans="1:1">
      <c r="A4818" s="19" t="s">
        <v>424</v>
      </c>
    </row>
    <row r="4820" spans="1:1">
      <c r="A4820" s="22" t="s">
        <v>407</v>
      </c>
    </row>
    <row r="4822" spans="1:1">
      <c r="A4822" s="22">
        <v>2</v>
      </c>
    </row>
    <row r="4824" spans="1:1">
      <c r="A4824" s="22" t="s">
        <v>946</v>
      </c>
    </row>
    <row r="4826" spans="1:1">
      <c r="A4826" s="22" t="s">
        <v>947</v>
      </c>
    </row>
    <row r="4828" spans="1:1">
      <c r="A4828" s="19" t="s">
        <v>423</v>
      </c>
    </row>
    <row r="4830" spans="1:1">
      <c r="A4830" s="19" t="s">
        <v>424</v>
      </c>
    </row>
    <row r="4832" spans="1:1">
      <c r="A4832" s="22" t="s">
        <v>407</v>
      </c>
    </row>
    <row r="4834" spans="1:1">
      <c r="A4834" s="22">
        <v>2</v>
      </c>
    </row>
    <row r="4836" spans="1:1">
      <c r="A4836" s="22" t="s">
        <v>948</v>
      </c>
    </row>
    <row r="4838" spans="1:1">
      <c r="A4838" s="22" t="s">
        <v>764</v>
      </c>
    </row>
    <row r="4840" spans="1:1">
      <c r="A4840" s="19" t="s">
        <v>423</v>
      </c>
    </row>
    <row r="4842" spans="1:1">
      <c r="A4842" s="19" t="s">
        <v>424</v>
      </c>
    </row>
    <row r="4844" spans="1:1">
      <c r="A4844" s="22" t="s">
        <v>407</v>
      </c>
    </row>
    <row r="4846" spans="1:1">
      <c r="A4846" s="22">
        <v>2</v>
      </c>
    </row>
    <row r="4848" spans="1:1">
      <c r="A4848" s="22" t="s">
        <v>949</v>
      </c>
    </row>
    <row r="4850" spans="1:1">
      <c r="A4850" s="22" t="s">
        <v>709</v>
      </c>
    </row>
    <row r="4852" spans="1:1">
      <c r="A4852" s="19" t="s">
        <v>423</v>
      </c>
    </row>
    <row r="4854" spans="1:1">
      <c r="A4854" s="19" t="s">
        <v>424</v>
      </c>
    </row>
    <row r="4856" spans="1:1">
      <c r="A4856" s="22" t="s">
        <v>407</v>
      </c>
    </row>
    <row r="4858" spans="1:1">
      <c r="A4858" s="22">
        <v>2</v>
      </c>
    </row>
    <row r="4860" spans="1:1">
      <c r="A4860" s="19" t="s">
        <v>950</v>
      </c>
    </row>
    <row r="4862" spans="1:1">
      <c r="A4862" s="22">
        <v>2487</v>
      </c>
    </row>
    <row r="4864" spans="1:1">
      <c r="A4864" s="24" t="s">
        <v>951</v>
      </c>
    </row>
    <row r="4866" spans="1:1">
      <c r="A4866" s="22" t="s">
        <v>952</v>
      </c>
    </row>
    <row r="4868" spans="1:1" ht="36" customHeight="1">
      <c r="A4868" s="33" t="s">
        <v>400</v>
      </c>
    </row>
    <row r="4869" spans="1:1">
      <c r="A4869" s="33"/>
    </row>
    <row r="4870" spans="1:1">
      <c r="A4870" s="34" t="s">
        <v>953</v>
      </c>
    </row>
    <row r="4871" spans="1:1">
      <c r="A4871" s="34"/>
    </row>
    <row r="4872" spans="1:1">
      <c r="A4872" s="33" t="s">
        <v>954</v>
      </c>
    </row>
    <row r="4873" spans="1:1">
      <c r="A4873" s="33"/>
    </row>
    <row r="4874" spans="1:1" ht="16" customHeight="1">
      <c r="A4874" s="35" t="s">
        <v>955</v>
      </c>
    </row>
    <row r="4875" spans="1:1">
      <c r="A4875" s="35"/>
    </row>
    <row r="4876" spans="1:1">
      <c r="A4876" s="36" t="s">
        <v>956</v>
      </c>
    </row>
    <row r="4877" spans="1:1">
      <c r="A4877" s="36"/>
    </row>
    <row r="4879" spans="1:1">
      <c r="A4879" s="19" t="s">
        <v>957</v>
      </c>
    </row>
    <row r="4881" spans="1:1">
      <c r="A4881" s="22">
        <v>392690979</v>
      </c>
    </row>
    <row r="4883" spans="1:1">
      <c r="A4883" s="22" t="s">
        <v>958</v>
      </c>
    </row>
    <row r="4885" spans="1:1">
      <c r="A4885" s="19" t="s">
        <v>959</v>
      </c>
    </row>
    <row r="4887" spans="1:1">
      <c r="A4887" s="19" t="s">
        <v>960</v>
      </c>
    </row>
    <row r="4889" spans="1:1">
      <c r="A4889" s="22" t="s">
        <v>961</v>
      </c>
    </row>
    <row r="4891" spans="1:1">
      <c r="A4891" s="19" t="s">
        <v>962</v>
      </c>
    </row>
    <row r="4893" spans="1:1">
      <c r="A4893" s="22" t="s">
        <v>961</v>
      </c>
    </row>
    <row r="4895" spans="1:1">
      <c r="A4895" s="19" t="s">
        <v>962</v>
      </c>
    </row>
    <row r="4897" spans="1:1">
      <c r="A4897" s="22" t="s">
        <v>961</v>
      </c>
    </row>
    <row r="4899" spans="1:1">
      <c r="A4899" s="19" t="s">
        <v>962</v>
      </c>
    </row>
    <row r="4901" spans="1:1">
      <c r="A4901" s="22" t="s">
        <v>961</v>
      </c>
    </row>
    <row r="4903" spans="1:1">
      <c r="A4903" s="19" t="s">
        <v>962</v>
      </c>
    </row>
    <row r="4905" spans="1:1">
      <c r="A4905" s="22" t="s">
        <v>961</v>
      </c>
    </row>
    <row r="4907" spans="1:1">
      <c r="A4907" s="19" t="s">
        <v>962</v>
      </c>
    </row>
    <row r="4909" spans="1:1">
      <c r="A4909" s="22" t="s">
        <v>961</v>
      </c>
    </row>
    <row r="4911" spans="1:1">
      <c r="A4911" s="19" t="s">
        <v>962</v>
      </c>
    </row>
    <row r="4913" spans="1:1">
      <c r="A4913" s="22" t="s">
        <v>961</v>
      </c>
    </row>
    <row r="4915" spans="1:1">
      <c r="A4915" s="19" t="s">
        <v>962</v>
      </c>
    </row>
    <row r="4917" spans="1:1">
      <c r="A4917" s="22" t="s">
        <v>961</v>
      </c>
    </row>
    <row r="4919" spans="1:1">
      <c r="A4919" s="19" t="s">
        <v>962</v>
      </c>
    </row>
    <row r="4921" spans="1:1">
      <c r="A4921" s="22" t="s">
        <v>961</v>
      </c>
    </row>
    <row r="4923" spans="1:1">
      <c r="A4923" s="19" t="s">
        <v>962</v>
      </c>
    </row>
    <row r="4925" spans="1:1">
      <c r="A4925" s="22" t="s">
        <v>961</v>
      </c>
    </row>
    <row r="4927" spans="1:1">
      <c r="A4927" s="19" t="s">
        <v>962</v>
      </c>
    </row>
    <row r="4929" spans="1:1">
      <c r="A4929" s="22" t="s">
        <v>961</v>
      </c>
    </row>
    <row r="4931" spans="1:1">
      <c r="A4931" s="19" t="s">
        <v>962</v>
      </c>
    </row>
    <row r="4933" spans="1:1">
      <c r="A4933" s="22" t="s">
        <v>961</v>
      </c>
    </row>
    <row r="4935" spans="1:1">
      <c r="A4935" s="19" t="s">
        <v>962</v>
      </c>
    </row>
    <row r="4937" spans="1:1">
      <c r="A4937" s="22" t="s">
        <v>961</v>
      </c>
    </row>
    <row r="4939" spans="1:1">
      <c r="A4939" s="19" t="s">
        <v>962</v>
      </c>
    </row>
    <row r="4941" spans="1:1">
      <c r="A4941" s="19" t="s">
        <v>963</v>
      </c>
    </row>
    <row r="4943" spans="1:1">
      <c r="A4943" s="22" t="s">
        <v>964</v>
      </c>
    </row>
    <row r="4945" spans="1:1">
      <c r="A4945" s="22" t="s">
        <v>965</v>
      </c>
    </row>
    <row r="4947" spans="1:1">
      <c r="A4947" s="22" t="s">
        <v>966</v>
      </c>
    </row>
    <row r="4949" spans="1:1">
      <c r="A4949" s="22" t="s">
        <v>967</v>
      </c>
    </row>
    <row r="4951" spans="1:1">
      <c r="A4951" s="22" t="s">
        <v>968</v>
      </c>
    </row>
    <row r="4953" spans="1:1">
      <c r="A4953" s="22" t="s">
        <v>969</v>
      </c>
    </row>
    <row r="4955" spans="1:1">
      <c r="A4955" s="22" t="s">
        <v>970</v>
      </c>
    </row>
    <row r="4957" spans="1:1">
      <c r="A4957" s="22" t="s">
        <v>968</v>
      </c>
    </row>
    <row r="4959" spans="1:1">
      <c r="A4959" s="22" t="s">
        <v>971</v>
      </c>
    </row>
    <row r="4961" spans="1:1">
      <c r="A4961" s="22" t="s">
        <v>972</v>
      </c>
    </row>
    <row r="4963" spans="1:1">
      <c r="A4963" s="22" t="s">
        <v>973</v>
      </c>
    </row>
    <row r="4965" spans="1:1">
      <c r="A4965" s="22" t="s">
        <v>974</v>
      </c>
    </row>
    <row r="4967" spans="1:1">
      <c r="A4967" s="22" t="s">
        <v>975</v>
      </c>
    </row>
    <row r="4969" spans="1:1">
      <c r="A4969" s="23" t="s">
        <v>976</v>
      </c>
    </row>
    <row r="4971" spans="1:1">
      <c r="A4971" s="19" t="s">
        <v>977</v>
      </c>
    </row>
    <row r="4973" spans="1:1">
      <c r="A4973" s="22" t="s">
        <v>978</v>
      </c>
    </row>
    <row r="4975" spans="1:1">
      <c r="A4975" s="22" t="s">
        <v>979</v>
      </c>
    </row>
    <row r="4977" spans="1:1">
      <c r="A4977" s="22" t="s">
        <v>980</v>
      </c>
    </row>
    <row r="4979" spans="1:1">
      <c r="A4979" s="19" t="s">
        <v>981</v>
      </c>
    </row>
    <row r="4981" spans="1:1">
      <c r="A4981" s="22" t="s">
        <v>982</v>
      </c>
    </row>
    <row r="4983" spans="1:1">
      <c r="A4983" s="22" t="s">
        <v>983</v>
      </c>
    </row>
    <row r="4985" spans="1:1">
      <c r="A4985" s="22" t="s">
        <v>984</v>
      </c>
    </row>
    <row r="4987" spans="1:1">
      <c r="A4987" s="22" t="s">
        <v>985</v>
      </c>
    </row>
    <row r="4989" spans="1:1">
      <c r="A4989" s="22" t="s">
        <v>986</v>
      </c>
    </row>
    <row r="4991" spans="1:1">
      <c r="A4991" s="22" t="s">
        <v>987</v>
      </c>
    </row>
    <row r="4993" spans="1:2">
      <c r="A4993" s="22" t="s">
        <v>988</v>
      </c>
    </row>
    <row r="4995" spans="1:2">
      <c r="A4995" s="22" t="s">
        <v>989</v>
      </c>
    </row>
    <row r="4997" spans="1:2">
      <c r="A4997" s="22" t="s">
        <v>990</v>
      </c>
    </row>
    <row r="4999" spans="1:2">
      <c r="A4999" s="22" t="s">
        <v>991</v>
      </c>
    </row>
    <row r="5001" spans="1:2">
      <c r="A5001" s="22" t="s">
        <v>992</v>
      </c>
    </row>
    <row r="5003" spans="1:2">
      <c r="A5003" s="22" t="s">
        <v>993</v>
      </c>
    </row>
    <row r="5005" spans="1:2">
      <c r="A5005" s="22" t="s">
        <v>994</v>
      </c>
    </row>
    <row r="5007" spans="1:2">
      <c r="A5007" s="32" t="s">
        <v>995</v>
      </c>
      <c r="B5007" s="32" t="s">
        <v>996</v>
      </c>
    </row>
    <row r="5008" spans="1:2">
      <c r="A5008" s="32"/>
      <c r="B5008" s="32"/>
    </row>
    <row r="5010" spans="1:1">
      <c r="A5010" s="26">
        <v>43125</v>
      </c>
    </row>
    <row r="5012" spans="1:1">
      <c r="A5012" s="22" t="s">
        <v>997</v>
      </c>
    </row>
    <row r="5014" spans="1:1">
      <c r="A5014" s="22" t="s">
        <v>133</v>
      </c>
    </row>
    <row r="5015" spans="1:1">
      <c r="A5015" s="22" t="s">
        <v>131</v>
      </c>
    </row>
    <row r="5016" spans="1:1">
      <c r="A5016" s="22" t="s">
        <v>389</v>
      </c>
    </row>
    <row r="5018" spans="1:1">
      <c r="A5018" s="19" t="s">
        <v>998</v>
      </c>
    </row>
    <row r="5020" spans="1:1">
      <c r="A5020" s="22" t="s">
        <v>133</v>
      </c>
    </row>
    <row r="5021" spans="1:1">
      <c r="A5021" s="22" t="s">
        <v>131</v>
      </c>
    </row>
    <row r="5022" spans="1:1">
      <c r="A5022" s="22" t="s">
        <v>389</v>
      </c>
    </row>
    <row r="5024" spans="1:1">
      <c r="A5024" s="19" t="s">
        <v>999</v>
      </c>
    </row>
    <row r="5026" spans="1:1">
      <c r="A5026" s="19" t="s">
        <v>1000</v>
      </c>
    </row>
    <row r="5028" spans="1:1">
      <c r="A5028" s="19" t="s">
        <v>1001</v>
      </c>
    </row>
    <row r="5030" spans="1:1">
      <c r="A5030" s="19" t="s">
        <v>134</v>
      </c>
    </row>
    <row r="5031" spans="1:1">
      <c r="A5031" s="22" t="s">
        <v>1002</v>
      </c>
    </row>
    <row r="5033" spans="1:1">
      <c r="A5033" s="19" t="s">
        <v>1003</v>
      </c>
    </row>
    <row r="5035" spans="1:1">
      <c r="A5035" s="22" t="s">
        <v>1004</v>
      </c>
    </row>
    <row r="5037" spans="1:1">
      <c r="A5037" s="22" t="s">
        <v>1005</v>
      </c>
    </row>
    <row r="5038" spans="1:1">
      <c r="A5038" s="22" t="s">
        <v>1004</v>
      </c>
    </row>
    <row r="5040" spans="1:1">
      <c r="A5040" s="19" t="s">
        <v>1006</v>
      </c>
    </row>
    <row r="5041" spans="1:1">
      <c r="A5041" s="19" t="s">
        <v>135</v>
      </c>
    </row>
    <row r="5042" spans="1:1">
      <c r="A5042" s="19" t="s">
        <v>1007</v>
      </c>
    </row>
    <row r="5044" spans="1:1">
      <c r="A5044" s="23" t="s">
        <v>1008</v>
      </c>
    </row>
    <row r="5046" spans="1:1">
      <c r="A5046" s="22" t="s">
        <v>1009</v>
      </c>
    </row>
    <row r="5048" spans="1:1">
      <c r="A5048" s="19" t="s">
        <v>1010</v>
      </c>
    </row>
  </sheetData>
  <mergeCells count="7">
    <mergeCell ref="B5007:B5008"/>
    <mergeCell ref="A4868:A4869"/>
    <mergeCell ref="A4870:A4871"/>
    <mergeCell ref="A4872:A4873"/>
    <mergeCell ref="A4874:A4875"/>
    <mergeCell ref="A4876:A4877"/>
    <mergeCell ref="A5007:A5008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enableFormatConditionsCalculation="0"/>
  <dimension ref="A1:B6211"/>
  <sheetViews>
    <sheetView workbookViewId="0">
      <selection activeCell="A18" sqref="A1:XFD1048576"/>
    </sheetView>
  </sheetViews>
  <sheetFormatPr baseColWidth="10" defaultRowHeight="14" x14ac:dyDescent="0"/>
  <sheetData>
    <row r="1" spans="1:2">
      <c r="A1" s="19" t="s">
        <v>388</v>
      </c>
    </row>
    <row r="3" spans="1:2" ht="40">
      <c r="A3" s="21" t="s">
        <v>133</v>
      </c>
      <c r="B3" s="25" t="s">
        <v>1017</v>
      </c>
    </row>
    <row r="4" spans="1:2" ht="30">
      <c r="A4" s="21" t="s">
        <v>131</v>
      </c>
      <c r="B4" s="25" t="s">
        <v>391</v>
      </c>
    </row>
    <row r="5" spans="1:2" ht="40">
      <c r="A5" s="21" t="s">
        <v>389</v>
      </c>
      <c r="B5" s="25" t="s">
        <v>392</v>
      </c>
    </row>
    <row r="6" spans="1:2">
      <c r="A6" s="20"/>
      <c r="B6" s="20"/>
    </row>
    <row r="8" spans="1:2">
      <c r="A8" s="19" t="s">
        <v>393</v>
      </c>
    </row>
    <row r="10" spans="1:2">
      <c r="A10" s="22" t="s">
        <v>394</v>
      </c>
    </row>
    <row r="12" spans="1:2">
      <c r="A12" s="19" t="s">
        <v>395</v>
      </c>
    </row>
    <row r="14" spans="1:2">
      <c r="A14" s="19" t="s">
        <v>396</v>
      </c>
    </row>
    <row r="16" spans="1:2">
      <c r="A16" s="22" t="s">
        <v>397</v>
      </c>
    </row>
    <row r="18" spans="1:1">
      <c r="A18" s="19" t="s">
        <v>398</v>
      </c>
    </row>
    <row r="20" spans="1:1">
      <c r="A20" s="19" t="s">
        <v>399</v>
      </c>
    </row>
    <row r="22" spans="1:1">
      <c r="A22" s="19" t="s">
        <v>400</v>
      </c>
    </row>
    <row r="24" spans="1:1">
      <c r="A24" s="23" t="s">
        <v>1018</v>
      </c>
    </row>
    <row r="26" spans="1:1">
      <c r="A26" s="19" t="s">
        <v>1019</v>
      </c>
    </row>
    <row r="28" spans="1:1">
      <c r="A28" s="19" t="s">
        <v>1020</v>
      </c>
    </row>
    <row r="30" spans="1:1">
      <c r="A30" s="22" t="s">
        <v>1021</v>
      </c>
    </row>
    <row r="32" spans="1:1">
      <c r="A32" s="22" t="s">
        <v>464</v>
      </c>
    </row>
    <row r="34" spans="1:1">
      <c r="A34" s="19" t="s">
        <v>406</v>
      </c>
    </row>
    <row r="36" spans="1:1">
      <c r="A36" s="22" t="s">
        <v>407</v>
      </c>
    </row>
    <row r="38" spans="1:1">
      <c r="A38" s="22">
        <v>3</v>
      </c>
    </row>
    <row r="40" spans="1:1">
      <c r="A40" s="22" t="s">
        <v>1022</v>
      </c>
    </row>
    <row r="42" spans="1:1">
      <c r="A42" s="22" t="s">
        <v>507</v>
      </c>
    </row>
    <row r="44" spans="1:1">
      <c r="A44" s="19" t="s">
        <v>406</v>
      </c>
    </row>
    <row r="46" spans="1:1">
      <c r="A46" s="22" t="s">
        <v>407</v>
      </c>
    </row>
    <row r="48" spans="1:1">
      <c r="A48" s="22">
        <v>4</v>
      </c>
    </row>
    <row r="50" spans="1:1">
      <c r="A50" s="22" t="s">
        <v>1023</v>
      </c>
    </row>
    <row r="52" spans="1:1">
      <c r="A52" s="22" t="s">
        <v>523</v>
      </c>
    </row>
    <row r="54" spans="1:1">
      <c r="A54" s="19" t="s">
        <v>406</v>
      </c>
    </row>
    <row r="56" spans="1:1">
      <c r="A56" s="22" t="s">
        <v>407</v>
      </c>
    </row>
    <row r="58" spans="1:1">
      <c r="A58" s="22">
        <v>3</v>
      </c>
    </row>
    <row r="60" spans="1:1">
      <c r="A60" s="22" t="s">
        <v>1024</v>
      </c>
    </row>
    <row r="62" spans="1:1">
      <c r="A62" s="22" t="s">
        <v>665</v>
      </c>
    </row>
    <row r="64" spans="1:1">
      <c r="A64" s="19" t="s">
        <v>406</v>
      </c>
    </row>
    <row r="66" spans="1:1">
      <c r="A66" s="22" t="s">
        <v>407</v>
      </c>
    </row>
    <row r="68" spans="1:1">
      <c r="A68" s="22">
        <v>2</v>
      </c>
    </row>
    <row r="70" spans="1:1">
      <c r="A70" s="22" t="s">
        <v>1025</v>
      </c>
    </row>
    <row r="72" spans="1:1">
      <c r="A72" s="22" t="s">
        <v>510</v>
      </c>
    </row>
    <row r="74" spans="1:1">
      <c r="A74" s="19" t="s">
        <v>406</v>
      </c>
    </row>
    <row r="76" spans="1:1">
      <c r="A76" s="22" t="s">
        <v>407</v>
      </c>
    </row>
    <row r="78" spans="1:1">
      <c r="A78" s="22">
        <v>2</v>
      </c>
    </row>
    <row r="80" spans="1:1">
      <c r="A80" s="22" t="s">
        <v>1026</v>
      </c>
    </row>
    <row r="82" spans="1:1">
      <c r="A82" s="22" t="s">
        <v>504</v>
      </c>
    </row>
    <row r="84" spans="1:1">
      <c r="A84" s="19" t="s">
        <v>406</v>
      </c>
    </row>
    <row r="86" spans="1:1">
      <c r="A86" s="22" t="s">
        <v>407</v>
      </c>
    </row>
    <row r="88" spans="1:1">
      <c r="A88" s="22">
        <v>2</v>
      </c>
    </row>
    <row r="90" spans="1:1">
      <c r="A90" s="22" t="s">
        <v>1027</v>
      </c>
    </row>
    <row r="92" spans="1:1">
      <c r="A92" s="22" t="s">
        <v>641</v>
      </c>
    </row>
    <row r="94" spans="1:1">
      <c r="A94" s="19" t="s">
        <v>419</v>
      </c>
    </row>
    <row r="96" spans="1:1">
      <c r="A96" s="22" t="s">
        <v>133</v>
      </c>
    </row>
    <row r="97" spans="1:1">
      <c r="A97" s="22" t="s">
        <v>131</v>
      </c>
    </row>
    <row r="98" spans="1:1">
      <c r="A98" s="22" t="s">
        <v>389</v>
      </c>
    </row>
    <row r="100" spans="1:1">
      <c r="A100" s="19" t="s">
        <v>400</v>
      </c>
    </row>
    <row r="102" spans="1:1">
      <c r="A102" s="19" t="s">
        <v>1019</v>
      </c>
    </row>
    <row r="104" spans="1:1">
      <c r="A104" s="22" t="s">
        <v>1028</v>
      </c>
    </row>
    <row r="106" spans="1:1">
      <c r="A106" s="19" t="s">
        <v>406</v>
      </c>
    </row>
    <row r="108" spans="1:1">
      <c r="A108" s="22" t="s">
        <v>407</v>
      </c>
    </row>
    <row r="110" spans="1:1">
      <c r="A110" s="22">
        <v>2</v>
      </c>
    </row>
    <row r="112" spans="1:1">
      <c r="A112" s="22" t="s">
        <v>1029</v>
      </c>
    </row>
    <row r="114" spans="1:1">
      <c r="A114" s="22" t="s">
        <v>458</v>
      </c>
    </row>
    <row r="116" spans="1:1">
      <c r="A116" s="19" t="s">
        <v>423</v>
      </c>
    </row>
    <row r="118" spans="1:1">
      <c r="A118" s="19" t="s">
        <v>424</v>
      </c>
    </row>
    <row r="120" spans="1:1">
      <c r="A120" s="22" t="s">
        <v>407</v>
      </c>
    </row>
    <row r="122" spans="1:1">
      <c r="A122" s="22">
        <v>6</v>
      </c>
    </row>
    <row r="124" spans="1:1">
      <c r="A124" s="22" t="s">
        <v>1030</v>
      </c>
    </row>
    <row r="126" spans="1:1">
      <c r="A126" s="22" t="s">
        <v>469</v>
      </c>
    </row>
    <row r="128" spans="1:1">
      <c r="A128" s="19" t="s">
        <v>423</v>
      </c>
    </row>
    <row r="130" spans="1:1">
      <c r="A130" s="19" t="s">
        <v>424</v>
      </c>
    </row>
    <row r="132" spans="1:1">
      <c r="A132" s="22" t="s">
        <v>407</v>
      </c>
    </row>
    <row r="134" spans="1:1">
      <c r="A134" s="22">
        <v>2</v>
      </c>
    </row>
    <row r="136" spans="1:1">
      <c r="A136" s="22" t="s">
        <v>1031</v>
      </c>
    </row>
    <row r="138" spans="1:1">
      <c r="A138" s="22" t="s">
        <v>448</v>
      </c>
    </row>
    <row r="140" spans="1:1">
      <c r="A140" s="19" t="s">
        <v>423</v>
      </c>
    </row>
    <row r="142" spans="1:1">
      <c r="A142" s="19" t="s">
        <v>424</v>
      </c>
    </row>
    <row r="144" spans="1:1">
      <c r="A144" s="22" t="s">
        <v>407</v>
      </c>
    </row>
    <row r="146" spans="1:1">
      <c r="A146" s="22">
        <v>3</v>
      </c>
    </row>
    <row r="148" spans="1:1">
      <c r="A148" s="22" t="s">
        <v>1032</v>
      </c>
    </row>
    <row r="150" spans="1:1">
      <c r="A150" s="22" t="s">
        <v>548</v>
      </c>
    </row>
    <row r="152" spans="1:1">
      <c r="A152" s="19" t="s">
        <v>423</v>
      </c>
    </row>
    <row r="154" spans="1:1">
      <c r="A154" s="19" t="s">
        <v>424</v>
      </c>
    </row>
    <row r="156" spans="1:1">
      <c r="A156" s="22" t="s">
        <v>407</v>
      </c>
    </row>
    <row r="158" spans="1:1">
      <c r="A158" s="22">
        <v>2</v>
      </c>
    </row>
    <row r="160" spans="1:1">
      <c r="A160" s="22" t="s">
        <v>1033</v>
      </c>
    </row>
    <row r="162" spans="1:1">
      <c r="A162" s="22" t="s">
        <v>764</v>
      </c>
    </row>
    <row r="164" spans="1:1">
      <c r="A164" s="19" t="s">
        <v>423</v>
      </c>
    </row>
    <row r="166" spans="1:1">
      <c r="A166" s="19" t="s">
        <v>424</v>
      </c>
    </row>
    <row r="168" spans="1:1">
      <c r="A168" s="22" t="s">
        <v>407</v>
      </c>
    </row>
    <row r="170" spans="1:1">
      <c r="A170" s="22">
        <v>2</v>
      </c>
    </row>
    <row r="172" spans="1:1">
      <c r="A172" s="22" t="s">
        <v>1034</v>
      </c>
    </row>
    <row r="174" spans="1:1">
      <c r="A174" s="22" t="s">
        <v>504</v>
      </c>
    </row>
    <row r="176" spans="1:1">
      <c r="A176" s="19" t="s">
        <v>423</v>
      </c>
    </row>
    <row r="178" spans="1:1">
      <c r="A178" s="19" t="s">
        <v>424</v>
      </c>
    </row>
    <row r="180" spans="1:1">
      <c r="A180" s="22" t="s">
        <v>407</v>
      </c>
    </row>
    <row r="182" spans="1:1">
      <c r="A182" s="22">
        <v>2</v>
      </c>
    </row>
    <row r="184" spans="1:1">
      <c r="A184" s="22" t="s">
        <v>1035</v>
      </c>
    </row>
    <row r="186" spans="1:1">
      <c r="A186" s="22" t="s">
        <v>747</v>
      </c>
    </row>
    <row r="188" spans="1:1">
      <c r="A188" s="19" t="s">
        <v>423</v>
      </c>
    </row>
    <row r="190" spans="1:1">
      <c r="A190" s="19" t="s">
        <v>424</v>
      </c>
    </row>
    <row r="192" spans="1:1">
      <c r="A192" s="22" t="s">
        <v>407</v>
      </c>
    </row>
    <row r="194" spans="1:1">
      <c r="A194" s="22">
        <v>3</v>
      </c>
    </row>
    <row r="196" spans="1:1">
      <c r="A196" s="19" t="s">
        <v>434</v>
      </c>
    </row>
    <row r="198" spans="1:1">
      <c r="A198" s="22" t="s">
        <v>133</v>
      </c>
    </row>
    <row r="199" spans="1:1">
      <c r="A199" s="22" t="s">
        <v>131</v>
      </c>
    </row>
    <row r="200" spans="1:1">
      <c r="A200" s="22" t="s">
        <v>389</v>
      </c>
    </row>
    <row r="202" spans="1:1">
      <c r="A202" s="19" t="s">
        <v>400</v>
      </c>
    </row>
    <row r="204" spans="1:1">
      <c r="A204" s="19" t="s">
        <v>1019</v>
      </c>
    </row>
    <row r="206" spans="1:1">
      <c r="A206" s="22" t="s">
        <v>1028</v>
      </c>
    </row>
    <row r="208" spans="1:1">
      <c r="A208" s="22" t="s">
        <v>1036</v>
      </c>
    </row>
    <row r="210" spans="1:1">
      <c r="A210" s="22" t="s">
        <v>1037</v>
      </c>
    </row>
    <row r="212" spans="1:1">
      <c r="A212" s="19" t="s">
        <v>406</v>
      </c>
    </row>
    <row r="214" spans="1:1">
      <c r="A214" s="22" t="s">
        <v>407</v>
      </c>
    </row>
    <row r="216" spans="1:1">
      <c r="A216" s="22">
        <v>3</v>
      </c>
    </row>
    <row r="218" spans="1:1">
      <c r="A218" s="22" t="s">
        <v>1038</v>
      </c>
    </row>
    <row r="220" spans="1:1">
      <c r="A220" s="22" t="s">
        <v>411</v>
      </c>
    </row>
    <row r="222" spans="1:1">
      <c r="A222" s="19" t="s">
        <v>423</v>
      </c>
    </row>
    <row r="224" spans="1:1">
      <c r="A224" s="19" t="s">
        <v>424</v>
      </c>
    </row>
    <row r="226" spans="1:1">
      <c r="A226" s="22" t="s">
        <v>407</v>
      </c>
    </row>
    <row r="228" spans="1:1">
      <c r="A228" s="22">
        <v>2</v>
      </c>
    </row>
    <row r="230" spans="1:1">
      <c r="A230" s="22" t="s">
        <v>1039</v>
      </c>
    </row>
    <row r="232" spans="1:1">
      <c r="A232" s="22" t="s">
        <v>416</v>
      </c>
    </row>
    <row r="234" spans="1:1">
      <c r="A234" s="19" t="s">
        <v>423</v>
      </c>
    </row>
    <row r="236" spans="1:1">
      <c r="A236" s="19" t="s">
        <v>424</v>
      </c>
    </row>
    <row r="238" spans="1:1">
      <c r="A238" s="22" t="s">
        <v>407</v>
      </c>
    </row>
    <row r="240" spans="1:1">
      <c r="A240" s="22">
        <v>3</v>
      </c>
    </row>
    <row r="242" spans="1:1">
      <c r="A242" s="22" t="s">
        <v>1040</v>
      </c>
    </row>
    <row r="244" spans="1:1">
      <c r="A244" s="22" t="s">
        <v>416</v>
      </c>
    </row>
    <row r="246" spans="1:1">
      <c r="A246" s="19" t="s">
        <v>423</v>
      </c>
    </row>
    <row r="248" spans="1:1">
      <c r="A248" s="19" t="s">
        <v>424</v>
      </c>
    </row>
    <row r="250" spans="1:1">
      <c r="A250" s="22" t="s">
        <v>407</v>
      </c>
    </row>
    <row r="252" spans="1:1">
      <c r="A252" s="22">
        <v>3</v>
      </c>
    </row>
    <row r="254" spans="1:1">
      <c r="A254" s="22" t="s">
        <v>1041</v>
      </c>
    </row>
    <row r="256" spans="1:1">
      <c r="A256" s="22" t="s">
        <v>679</v>
      </c>
    </row>
    <row r="258" spans="1:1">
      <c r="A258" s="19" t="s">
        <v>423</v>
      </c>
    </row>
    <row r="260" spans="1:1">
      <c r="A260" s="19" t="s">
        <v>424</v>
      </c>
    </row>
    <row r="262" spans="1:1">
      <c r="A262" s="22" t="s">
        <v>407</v>
      </c>
    </row>
    <row r="264" spans="1:1">
      <c r="A264" s="22">
        <v>2</v>
      </c>
    </row>
    <row r="266" spans="1:1">
      <c r="A266" s="22" t="s">
        <v>1042</v>
      </c>
    </row>
    <row r="268" spans="1:1">
      <c r="A268" s="22" t="s">
        <v>456</v>
      </c>
    </row>
    <row r="270" spans="1:1">
      <c r="A270" s="19" t="s">
        <v>423</v>
      </c>
    </row>
    <row r="272" spans="1:1">
      <c r="A272" s="19" t="s">
        <v>424</v>
      </c>
    </row>
    <row r="274" spans="1:1">
      <c r="A274" s="22" t="s">
        <v>407</v>
      </c>
    </row>
    <row r="276" spans="1:1">
      <c r="A276" s="22">
        <v>3</v>
      </c>
    </row>
    <row r="278" spans="1:1">
      <c r="A278" s="22" t="s">
        <v>1043</v>
      </c>
    </row>
    <row r="280" spans="1:1">
      <c r="A280" s="22" t="s">
        <v>659</v>
      </c>
    </row>
    <row r="282" spans="1:1">
      <c r="A282" s="19" t="s">
        <v>423</v>
      </c>
    </row>
    <row r="284" spans="1:1">
      <c r="A284" s="19" t="s">
        <v>424</v>
      </c>
    </row>
    <row r="286" spans="1:1">
      <c r="A286" s="22" t="s">
        <v>407</v>
      </c>
    </row>
    <row r="288" spans="1:1">
      <c r="A288" s="22">
        <v>10</v>
      </c>
    </row>
    <row r="290" spans="1:1">
      <c r="A290" s="22" t="s">
        <v>1044</v>
      </c>
    </row>
    <row r="292" spans="1:1">
      <c r="A292" s="22" t="s">
        <v>428</v>
      </c>
    </row>
    <row r="294" spans="1:1">
      <c r="A294" s="19" t="s">
        <v>423</v>
      </c>
    </row>
    <row r="296" spans="1:1">
      <c r="A296" s="19" t="s">
        <v>424</v>
      </c>
    </row>
    <row r="298" spans="1:1">
      <c r="A298" s="22" t="s">
        <v>407</v>
      </c>
    </row>
    <row r="300" spans="1:1">
      <c r="A300" s="22">
        <v>3</v>
      </c>
    </row>
    <row r="302" spans="1:1">
      <c r="A302" s="19" t="s">
        <v>449</v>
      </c>
    </row>
    <row r="304" spans="1:1">
      <c r="A304" s="22" t="s">
        <v>133</v>
      </c>
    </row>
    <row r="305" spans="1:1">
      <c r="A305" s="22" t="s">
        <v>131</v>
      </c>
    </row>
    <row r="306" spans="1:1">
      <c r="A306" s="22" t="s">
        <v>389</v>
      </c>
    </row>
    <row r="308" spans="1:1">
      <c r="A308" s="19" t="s">
        <v>400</v>
      </c>
    </row>
    <row r="310" spans="1:1">
      <c r="A310" s="19" t="s">
        <v>1019</v>
      </c>
    </row>
    <row r="312" spans="1:1">
      <c r="A312" s="22" t="s">
        <v>1028</v>
      </c>
    </row>
    <row r="314" spans="1:1">
      <c r="A314" s="22" t="s">
        <v>1045</v>
      </c>
    </row>
    <row r="316" spans="1:1">
      <c r="A316" s="22" t="s">
        <v>422</v>
      </c>
    </row>
    <row r="318" spans="1:1">
      <c r="A318" s="19" t="s">
        <v>406</v>
      </c>
    </row>
    <row r="320" spans="1:1">
      <c r="A320" s="22" t="s">
        <v>407</v>
      </c>
    </row>
    <row r="322" spans="1:1">
      <c r="A322" s="22">
        <v>1</v>
      </c>
    </row>
    <row r="324" spans="1:1">
      <c r="A324" s="22" t="s">
        <v>1046</v>
      </c>
    </row>
    <row r="326" spans="1:1">
      <c r="A326" s="22" t="s">
        <v>430</v>
      </c>
    </row>
    <row r="328" spans="1:1">
      <c r="A328" s="19" t="s">
        <v>423</v>
      </c>
    </row>
    <row r="330" spans="1:1">
      <c r="A330" s="19" t="s">
        <v>424</v>
      </c>
    </row>
    <row r="332" spans="1:1">
      <c r="A332" s="22" t="s">
        <v>407</v>
      </c>
    </row>
    <row r="334" spans="1:1">
      <c r="A334" s="22">
        <v>1</v>
      </c>
    </row>
    <row r="336" spans="1:1">
      <c r="A336" s="22" t="s">
        <v>1047</v>
      </c>
    </row>
    <row r="338" spans="1:1">
      <c r="A338" s="22" t="s">
        <v>432</v>
      </c>
    </row>
    <row r="340" spans="1:1">
      <c r="A340" s="19" t="s">
        <v>423</v>
      </c>
    </row>
    <row r="342" spans="1:1">
      <c r="A342" s="19" t="s">
        <v>424</v>
      </c>
    </row>
    <row r="344" spans="1:1">
      <c r="A344" s="22" t="s">
        <v>407</v>
      </c>
    </row>
    <row r="346" spans="1:1">
      <c r="A346" s="22">
        <v>1</v>
      </c>
    </row>
    <row r="348" spans="1:1">
      <c r="A348" s="22" t="s">
        <v>1048</v>
      </c>
    </row>
    <row r="350" spans="1:1">
      <c r="A350" s="22" t="s">
        <v>432</v>
      </c>
    </row>
    <row r="352" spans="1:1">
      <c r="A352" s="19" t="s">
        <v>423</v>
      </c>
    </row>
    <row r="354" spans="1:1">
      <c r="A354" s="19" t="s">
        <v>424</v>
      </c>
    </row>
    <row r="356" spans="1:1">
      <c r="A356" s="22" t="s">
        <v>407</v>
      </c>
    </row>
    <row r="358" spans="1:1">
      <c r="A358" s="22">
        <v>1</v>
      </c>
    </row>
    <row r="360" spans="1:1">
      <c r="A360" s="22" t="s">
        <v>1049</v>
      </c>
    </row>
    <row r="362" spans="1:1">
      <c r="A362" s="22" t="s">
        <v>438</v>
      </c>
    </row>
    <row r="364" spans="1:1">
      <c r="A364" s="19" t="s">
        <v>423</v>
      </c>
    </row>
    <row r="366" spans="1:1">
      <c r="A366" s="19" t="s">
        <v>424</v>
      </c>
    </row>
    <row r="368" spans="1:1">
      <c r="A368" s="22" t="s">
        <v>407</v>
      </c>
    </row>
    <row r="370" spans="1:1">
      <c r="A370" s="22">
        <v>2</v>
      </c>
    </row>
    <row r="372" spans="1:1">
      <c r="A372" s="22" t="s">
        <v>1050</v>
      </c>
    </row>
    <row r="374" spans="1:1">
      <c r="A374" s="22" t="s">
        <v>418</v>
      </c>
    </row>
    <row r="376" spans="1:1">
      <c r="A376" s="19" t="s">
        <v>423</v>
      </c>
    </row>
    <row r="378" spans="1:1">
      <c r="A378" s="19" t="s">
        <v>424</v>
      </c>
    </row>
    <row r="380" spans="1:1">
      <c r="A380" s="22" t="s">
        <v>407</v>
      </c>
    </row>
    <row r="382" spans="1:1">
      <c r="A382" s="22">
        <v>3</v>
      </c>
    </row>
    <row r="384" spans="1:1">
      <c r="A384" s="22" t="s">
        <v>1051</v>
      </c>
    </row>
    <row r="386" spans="1:1">
      <c r="A386" s="22" t="s">
        <v>418</v>
      </c>
    </row>
    <row r="388" spans="1:1">
      <c r="A388" s="19" t="s">
        <v>423</v>
      </c>
    </row>
    <row r="390" spans="1:1">
      <c r="A390" s="19" t="s">
        <v>424</v>
      </c>
    </row>
    <row r="392" spans="1:1">
      <c r="A392" s="22" t="s">
        <v>407</v>
      </c>
    </row>
    <row r="394" spans="1:1">
      <c r="A394" s="22">
        <v>3</v>
      </c>
    </row>
    <row r="396" spans="1:1">
      <c r="A396" s="22" t="s">
        <v>1052</v>
      </c>
    </row>
    <row r="398" spans="1:1">
      <c r="A398" s="22" t="s">
        <v>1053</v>
      </c>
    </row>
    <row r="400" spans="1:1">
      <c r="A400" s="19" t="s">
        <v>423</v>
      </c>
    </row>
    <row r="402" spans="1:1">
      <c r="A402" s="19" t="s">
        <v>424</v>
      </c>
    </row>
    <row r="404" spans="1:1">
      <c r="A404" s="22" t="s">
        <v>407</v>
      </c>
    </row>
    <row r="406" spans="1:1">
      <c r="A406" s="22">
        <v>3</v>
      </c>
    </row>
    <row r="408" spans="1:1">
      <c r="A408" s="19" t="s">
        <v>465</v>
      </c>
    </row>
    <row r="410" spans="1:1">
      <c r="A410" s="22" t="s">
        <v>133</v>
      </c>
    </row>
    <row r="411" spans="1:1">
      <c r="A411" s="22" t="s">
        <v>131</v>
      </c>
    </row>
    <row r="412" spans="1:1">
      <c r="A412" s="22" t="s">
        <v>389</v>
      </c>
    </row>
    <row r="414" spans="1:1">
      <c r="A414" s="19" t="s">
        <v>400</v>
      </c>
    </row>
    <row r="416" spans="1:1">
      <c r="A416" s="19" t="s">
        <v>1019</v>
      </c>
    </row>
    <row r="418" spans="1:1">
      <c r="A418" s="22" t="s">
        <v>1028</v>
      </c>
    </row>
    <row r="420" spans="1:1">
      <c r="A420" s="22" t="s">
        <v>1054</v>
      </c>
    </row>
    <row r="422" spans="1:1">
      <c r="A422" s="22" t="s">
        <v>430</v>
      </c>
    </row>
    <row r="424" spans="1:1">
      <c r="A424" s="19" t="s">
        <v>406</v>
      </c>
    </row>
    <row r="426" spans="1:1">
      <c r="A426" s="22" t="s">
        <v>407</v>
      </c>
    </row>
    <row r="428" spans="1:1">
      <c r="A428" s="22">
        <v>2</v>
      </c>
    </row>
    <row r="430" spans="1:1">
      <c r="A430" s="22" t="s">
        <v>1055</v>
      </c>
    </row>
    <row r="432" spans="1:1">
      <c r="A432" s="22" t="s">
        <v>1056</v>
      </c>
    </row>
    <row r="434" spans="1:1">
      <c r="A434" s="19" t="s">
        <v>423</v>
      </c>
    </row>
    <row r="436" spans="1:1">
      <c r="A436" s="19" t="s">
        <v>424</v>
      </c>
    </row>
    <row r="438" spans="1:1">
      <c r="A438" s="22" t="s">
        <v>407</v>
      </c>
    </row>
    <row r="440" spans="1:1">
      <c r="A440" s="22">
        <v>3</v>
      </c>
    </row>
    <row r="442" spans="1:1">
      <c r="A442" s="22" t="s">
        <v>1057</v>
      </c>
    </row>
    <row r="444" spans="1:1">
      <c r="A444" s="22" t="s">
        <v>428</v>
      </c>
    </row>
    <row r="446" spans="1:1">
      <c r="A446" s="19" t="s">
        <v>423</v>
      </c>
    </row>
    <row r="448" spans="1:1">
      <c r="A448" s="19" t="s">
        <v>424</v>
      </c>
    </row>
    <row r="450" spans="1:1">
      <c r="A450" s="22" t="s">
        <v>407</v>
      </c>
    </row>
    <row r="452" spans="1:1">
      <c r="A452" s="22">
        <v>4</v>
      </c>
    </row>
    <row r="454" spans="1:1">
      <c r="A454" s="22" t="s">
        <v>1058</v>
      </c>
    </row>
    <row r="456" spans="1:1">
      <c r="A456" s="22" t="s">
        <v>418</v>
      </c>
    </row>
    <row r="458" spans="1:1">
      <c r="A458" s="19" t="s">
        <v>423</v>
      </c>
    </row>
    <row r="460" spans="1:1">
      <c r="A460" s="19" t="s">
        <v>424</v>
      </c>
    </row>
    <row r="462" spans="1:1">
      <c r="A462" s="22" t="s">
        <v>407</v>
      </c>
    </row>
    <row r="464" spans="1:1">
      <c r="A464" s="22">
        <v>3</v>
      </c>
    </row>
    <row r="466" spans="1:1">
      <c r="A466" s="22" t="s">
        <v>1059</v>
      </c>
    </row>
    <row r="468" spans="1:1">
      <c r="A468" s="22" t="s">
        <v>428</v>
      </c>
    </row>
    <row r="470" spans="1:1">
      <c r="A470" s="19" t="s">
        <v>423</v>
      </c>
    </row>
    <row r="472" spans="1:1">
      <c r="A472" s="19" t="s">
        <v>424</v>
      </c>
    </row>
    <row r="474" spans="1:1">
      <c r="A474" s="22" t="s">
        <v>407</v>
      </c>
    </row>
    <row r="476" spans="1:1">
      <c r="A476" s="22">
        <v>3</v>
      </c>
    </row>
    <row r="478" spans="1:1">
      <c r="A478" s="22" t="s">
        <v>1060</v>
      </c>
    </row>
    <row r="480" spans="1:1">
      <c r="A480" s="22" t="s">
        <v>428</v>
      </c>
    </row>
    <row r="482" spans="1:1">
      <c r="A482" s="19" t="s">
        <v>423</v>
      </c>
    </row>
    <row r="484" spans="1:1">
      <c r="A484" s="19" t="s">
        <v>424</v>
      </c>
    </row>
    <row r="486" spans="1:1">
      <c r="A486" s="22" t="s">
        <v>407</v>
      </c>
    </row>
    <row r="488" spans="1:1">
      <c r="A488" s="22">
        <v>3</v>
      </c>
    </row>
    <row r="490" spans="1:1">
      <c r="A490" s="22" t="s">
        <v>1061</v>
      </c>
    </row>
    <row r="492" spans="1:1">
      <c r="A492" s="22" t="s">
        <v>495</v>
      </c>
    </row>
    <row r="494" spans="1:1">
      <c r="A494" s="19" t="s">
        <v>423</v>
      </c>
    </row>
    <row r="496" spans="1:1">
      <c r="A496" s="19" t="s">
        <v>424</v>
      </c>
    </row>
    <row r="498" spans="1:1">
      <c r="A498" s="22" t="s">
        <v>407</v>
      </c>
    </row>
    <row r="500" spans="1:1">
      <c r="A500" s="22">
        <v>6</v>
      </c>
    </row>
    <row r="502" spans="1:1">
      <c r="A502" s="22" t="s">
        <v>1062</v>
      </c>
    </row>
    <row r="504" spans="1:1">
      <c r="A504" s="22" t="s">
        <v>1063</v>
      </c>
    </row>
    <row r="506" spans="1:1">
      <c r="A506" s="19" t="s">
        <v>423</v>
      </c>
    </row>
    <row r="508" spans="1:1">
      <c r="A508" s="19" t="s">
        <v>424</v>
      </c>
    </row>
    <row r="510" spans="1:1">
      <c r="A510" s="22" t="s">
        <v>407</v>
      </c>
    </row>
    <row r="512" spans="1:1">
      <c r="A512" s="22">
        <v>4</v>
      </c>
    </row>
    <row r="514" spans="1:1">
      <c r="A514" s="19" t="s">
        <v>478</v>
      </c>
    </row>
    <row r="516" spans="1:1">
      <c r="A516" s="22" t="s">
        <v>133</v>
      </c>
    </row>
    <row r="517" spans="1:1">
      <c r="A517" s="22" t="s">
        <v>131</v>
      </c>
    </row>
    <row r="518" spans="1:1">
      <c r="A518" s="22" t="s">
        <v>389</v>
      </c>
    </row>
    <row r="520" spans="1:1">
      <c r="A520" s="19" t="s">
        <v>400</v>
      </c>
    </row>
    <row r="522" spans="1:1">
      <c r="A522" s="19" t="s">
        <v>1019</v>
      </c>
    </row>
    <row r="524" spans="1:1">
      <c r="A524" s="22" t="s">
        <v>1028</v>
      </c>
    </row>
    <row r="526" spans="1:1">
      <c r="A526" s="22" t="s">
        <v>1064</v>
      </c>
    </row>
    <row r="528" spans="1:1">
      <c r="A528" s="22" t="s">
        <v>829</v>
      </c>
    </row>
    <row r="530" spans="1:1">
      <c r="A530" s="19" t="s">
        <v>406</v>
      </c>
    </row>
    <row r="532" spans="1:1">
      <c r="A532" s="22" t="s">
        <v>407</v>
      </c>
    </row>
    <row r="534" spans="1:1">
      <c r="A534" s="22">
        <v>2</v>
      </c>
    </row>
    <row r="536" spans="1:1">
      <c r="A536" s="22" t="s">
        <v>1065</v>
      </c>
    </row>
    <row r="538" spans="1:1">
      <c r="A538" s="22" t="s">
        <v>446</v>
      </c>
    </row>
    <row r="540" spans="1:1">
      <c r="A540" s="19" t="s">
        <v>423</v>
      </c>
    </row>
    <row r="542" spans="1:1">
      <c r="A542" s="19" t="s">
        <v>424</v>
      </c>
    </row>
    <row r="544" spans="1:1">
      <c r="A544" s="22" t="s">
        <v>407</v>
      </c>
    </row>
    <row r="546" spans="1:1">
      <c r="A546" s="22">
        <v>3</v>
      </c>
    </row>
    <row r="548" spans="1:1">
      <c r="A548" s="22" t="s">
        <v>1066</v>
      </c>
    </row>
    <row r="550" spans="1:1">
      <c r="A550" s="22" t="s">
        <v>458</v>
      </c>
    </row>
    <row r="552" spans="1:1">
      <c r="A552" s="19" t="s">
        <v>423</v>
      </c>
    </row>
    <row r="554" spans="1:1">
      <c r="A554" s="19" t="s">
        <v>424</v>
      </c>
    </row>
    <row r="556" spans="1:1">
      <c r="A556" s="22" t="s">
        <v>407</v>
      </c>
    </row>
    <row r="558" spans="1:1">
      <c r="A558" s="22">
        <v>4</v>
      </c>
    </row>
    <row r="560" spans="1:1">
      <c r="A560" s="22" t="s">
        <v>1067</v>
      </c>
    </row>
    <row r="562" spans="1:1">
      <c r="A562" s="22" t="s">
        <v>715</v>
      </c>
    </row>
    <row r="564" spans="1:1">
      <c r="A564" s="19" t="s">
        <v>423</v>
      </c>
    </row>
    <row r="566" spans="1:1">
      <c r="A566" s="19" t="s">
        <v>424</v>
      </c>
    </row>
    <row r="568" spans="1:1">
      <c r="A568" s="22" t="s">
        <v>407</v>
      </c>
    </row>
    <row r="570" spans="1:1">
      <c r="A570" s="22">
        <v>3</v>
      </c>
    </row>
    <row r="572" spans="1:1">
      <c r="A572" s="22" t="s">
        <v>1068</v>
      </c>
    </row>
    <row r="574" spans="1:1">
      <c r="A574" s="22" t="s">
        <v>446</v>
      </c>
    </row>
    <row r="576" spans="1:1">
      <c r="A576" s="19" t="s">
        <v>423</v>
      </c>
    </row>
    <row r="578" spans="1:1">
      <c r="A578" s="19" t="s">
        <v>424</v>
      </c>
    </row>
    <row r="580" spans="1:1">
      <c r="A580" s="22" t="s">
        <v>407</v>
      </c>
    </row>
    <row r="582" spans="1:1">
      <c r="A582" s="22">
        <v>2</v>
      </c>
    </row>
    <row r="584" spans="1:1">
      <c r="A584" s="22" t="s">
        <v>1069</v>
      </c>
    </row>
    <row r="586" spans="1:1">
      <c r="A586" s="22" t="s">
        <v>1070</v>
      </c>
    </row>
    <row r="588" spans="1:1">
      <c r="A588" s="19" t="s">
        <v>423</v>
      </c>
    </row>
    <row r="590" spans="1:1">
      <c r="A590" s="19" t="s">
        <v>424</v>
      </c>
    </row>
    <row r="592" spans="1:1">
      <c r="A592" s="22" t="s">
        <v>407</v>
      </c>
    </row>
    <row r="594" spans="1:1">
      <c r="A594" s="22">
        <v>4</v>
      </c>
    </row>
    <row r="596" spans="1:1">
      <c r="A596" s="22" t="s">
        <v>1071</v>
      </c>
    </row>
    <row r="598" spans="1:1">
      <c r="A598" s="22" t="s">
        <v>464</v>
      </c>
    </row>
    <row r="600" spans="1:1">
      <c r="A600" s="19" t="s">
        <v>423</v>
      </c>
    </row>
    <row r="602" spans="1:1">
      <c r="A602" s="19" t="s">
        <v>424</v>
      </c>
    </row>
    <row r="604" spans="1:1">
      <c r="A604" s="22" t="s">
        <v>407</v>
      </c>
    </row>
    <row r="606" spans="1:1">
      <c r="A606" s="22">
        <v>3</v>
      </c>
    </row>
    <row r="608" spans="1:1">
      <c r="A608" s="22" t="s">
        <v>1072</v>
      </c>
    </row>
    <row r="610" spans="1:1">
      <c r="A610" s="22" t="s">
        <v>523</v>
      </c>
    </row>
    <row r="612" spans="1:1">
      <c r="A612" s="19" t="s">
        <v>423</v>
      </c>
    </row>
    <row r="614" spans="1:1">
      <c r="A614" s="19" t="s">
        <v>424</v>
      </c>
    </row>
    <row r="616" spans="1:1">
      <c r="A616" s="22" t="s">
        <v>407</v>
      </c>
    </row>
    <row r="618" spans="1:1">
      <c r="A618" s="22">
        <v>3</v>
      </c>
    </row>
    <row r="620" spans="1:1">
      <c r="A620" s="19" t="s">
        <v>490</v>
      </c>
    </row>
    <row r="622" spans="1:1">
      <c r="A622" s="22" t="s">
        <v>133</v>
      </c>
    </row>
    <row r="623" spans="1:1">
      <c r="A623" s="22" t="s">
        <v>131</v>
      </c>
    </row>
    <row r="624" spans="1:1">
      <c r="A624" s="22" t="s">
        <v>389</v>
      </c>
    </row>
    <row r="626" spans="1:1">
      <c r="A626" s="19" t="s">
        <v>400</v>
      </c>
    </row>
    <row r="628" spans="1:1">
      <c r="A628" s="19" t="s">
        <v>1019</v>
      </c>
    </row>
    <row r="630" spans="1:1">
      <c r="A630" s="22" t="s">
        <v>1028</v>
      </c>
    </row>
    <row r="632" spans="1:1">
      <c r="A632" s="22" t="s">
        <v>1073</v>
      </c>
    </row>
    <row r="634" spans="1:1">
      <c r="A634" s="22" t="s">
        <v>665</v>
      </c>
    </row>
    <row r="636" spans="1:1">
      <c r="A636" s="19" t="s">
        <v>406</v>
      </c>
    </row>
    <row r="638" spans="1:1">
      <c r="A638" s="22" t="s">
        <v>407</v>
      </c>
    </row>
    <row r="640" spans="1:1">
      <c r="A640" s="22">
        <v>2</v>
      </c>
    </row>
    <row r="642" spans="1:1">
      <c r="A642" s="22" t="s">
        <v>1074</v>
      </c>
    </row>
    <row r="644" spans="1:1">
      <c r="A644" s="22" t="s">
        <v>510</v>
      </c>
    </row>
    <row r="646" spans="1:1">
      <c r="A646" s="19" t="s">
        <v>423</v>
      </c>
    </row>
    <row r="648" spans="1:1">
      <c r="A648" s="19" t="s">
        <v>424</v>
      </c>
    </row>
    <row r="650" spans="1:1">
      <c r="A650" s="22" t="s">
        <v>407</v>
      </c>
    </row>
    <row r="652" spans="1:1">
      <c r="A652" s="22">
        <v>2</v>
      </c>
    </row>
    <row r="654" spans="1:1">
      <c r="A654" s="22" t="s">
        <v>1075</v>
      </c>
    </row>
    <row r="656" spans="1:1">
      <c r="A656" s="22" t="s">
        <v>469</v>
      </c>
    </row>
    <row r="658" spans="1:1">
      <c r="A658" s="19" t="s">
        <v>423</v>
      </c>
    </row>
    <row r="660" spans="1:1">
      <c r="A660" s="19" t="s">
        <v>424</v>
      </c>
    </row>
    <row r="662" spans="1:1">
      <c r="A662" s="22" t="s">
        <v>407</v>
      </c>
    </row>
    <row r="664" spans="1:1">
      <c r="A664" s="22">
        <v>2</v>
      </c>
    </row>
    <row r="666" spans="1:1">
      <c r="A666" s="22" t="s">
        <v>1076</v>
      </c>
    </row>
    <row r="668" spans="1:1">
      <c r="A668" s="22" t="s">
        <v>489</v>
      </c>
    </row>
    <row r="670" spans="1:1">
      <c r="A670" s="19" t="s">
        <v>423</v>
      </c>
    </row>
    <row r="672" spans="1:1">
      <c r="A672" s="19" t="s">
        <v>424</v>
      </c>
    </row>
    <row r="674" spans="1:1">
      <c r="A674" s="22" t="s">
        <v>407</v>
      </c>
    </row>
    <row r="676" spans="1:1">
      <c r="A676" s="22">
        <v>2</v>
      </c>
    </row>
    <row r="678" spans="1:1">
      <c r="A678" s="22" t="s">
        <v>1077</v>
      </c>
    </row>
    <row r="680" spans="1:1">
      <c r="A680" s="22" t="s">
        <v>947</v>
      </c>
    </row>
    <row r="682" spans="1:1">
      <c r="A682" s="19" t="s">
        <v>423</v>
      </c>
    </row>
    <row r="684" spans="1:1">
      <c r="A684" s="19" t="s">
        <v>424</v>
      </c>
    </row>
    <row r="686" spans="1:1">
      <c r="A686" s="22" t="s">
        <v>407</v>
      </c>
    </row>
    <row r="688" spans="1:1">
      <c r="A688" s="22">
        <v>2</v>
      </c>
    </row>
    <row r="690" spans="1:1">
      <c r="A690" s="22" t="s">
        <v>1078</v>
      </c>
    </row>
    <row r="692" spans="1:1">
      <c r="A692" s="22" t="s">
        <v>1079</v>
      </c>
    </row>
    <row r="694" spans="1:1">
      <c r="A694" s="19" t="s">
        <v>423</v>
      </c>
    </row>
    <row r="696" spans="1:1">
      <c r="A696" s="19" t="s">
        <v>424</v>
      </c>
    </row>
    <row r="698" spans="1:1">
      <c r="A698" s="22" t="s">
        <v>407</v>
      </c>
    </row>
    <row r="700" spans="1:1">
      <c r="A700" s="22">
        <v>2</v>
      </c>
    </row>
    <row r="702" spans="1:1">
      <c r="A702" s="22" t="s">
        <v>1080</v>
      </c>
    </row>
    <row r="704" spans="1:1">
      <c r="A704" s="22" t="s">
        <v>1056</v>
      </c>
    </row>
    <row r="706" spans="1:1">
      <c r="A706" s="19" t="s">
        <v>423</v>
      </c>
    </row>
    <row r="708" spans="1:1">
      <c r="A708" s="19" t="s">
        <v>424</v>
      </c>
    </row>
    <row r="710" spans="1:1">
      <c r="A710" s="22" t="s">
        <v>407</v>
      </c>
    </row>
    <row r="712" spans="1:1">
      <c r="A712" s="22">
        <v>3</v>
      </c>
    </row>
    <row r="714" spans="1:1">
      <c r="A714" s="22" t="s">
        <v>1081</v>
      </c>
    </row>
    <row r="716" spans="1:1">
      <c r="A716" s="22" t="s">
        <v>550</v>
      </c>
    </row>
    <row r="718" spans="1:1">
      <c r="A718" s="19" t="s">
        <v>423</v>
      </c>
    </row>
    <row r="720" spans="1:1">
      <c r="A720" s="19" t="s">
        <v>424</v>
      </c>
    </row>
    <row r="722" spans="1:1">
      <c r="A722" s="22" t="s">
        <v>407</v>
      </c>
    </row>
    <row r="724" spans="1:1">
      <c r="A724" s="22">
        <v>2</v>
      </c>
    </row>
    <row r="726" spans="1:1">
      <c r="A726" s="19" t="s">
        <v>501</v>
      </c>
    </row>
    <row r="728" spans="1:1">
      <c r="A728" s="22" t="s">
        <v>133</v>
      </c>
    </row>
    <row r="729" spans="1:1">
      <c r="A729" s="22" t="s">
        <v>131</v>
      </c>
    </row>
    <row r="730" spans="1:1">
      <c r="A730" s="22" t="s">
        <v>389</v>
      </c>
    </row>
    <row r="732" spans="1:1">
      <c r="A732" s="19" t="s">
        <v>400</v>
      </c>
    </row>
    <row r="734" spans="1:1">
      <c r="A734" s="19" t="s">
        <v>1019</v>
      </c>
    </row>
    <row r="736" spans="1:1">
      <c r="A736" s="22" t="s">
        <v>1028</v>
      </c>
    </row>
    <row r="738" spans="1:1">
      <c r="A738" s="22" t="s">
        <v>1082</v>
      </c>
    </row>
    <row r="740" spans="1:1">
      <c r="A740" s="22" t="s">
        <v>538</v>
      </c>
    </row>
    <row r="742" spans="1:1">
      <c r="A742" s="19" t="s">
        <v>406</v>
      </c>
    </row>
    <row r="744" spans="1:1">
      <c r="A744" s="22" t="s">
        <v>407</v>
      </c>
    </row>
    <row r="746" spans="1:1">
      <c r="A746" s="22">
        <v>2</v>
      </c>
    </row>
    <row r="748" spans="1:1">
      <c r="A748" s="22" t="s">
        <v>1083</v>
      </c>
    </row>
    <row r="750" spans="1:1">
      <c r="A750" s="22" t="s">
        <v>595</v>
      </c>
    </row>
    <row r="752" spans="1:1">
      <c r="A752" s="19" t="s">
        <v>423</v>
      </c>
    </row>
    <row r="754" spans="1:1">
      <c r="A754" s="19" t="s">
        <v>424</v>
      </c>
    </row>
    <row r="756" spans="1:1">
      <c r="A756" s="22" t="s">
        <v>407</v>
      </c>
    </row>
    <row r="758" spans="1:1">
      <c r="A758" s="22">
        <v>2</v>
      </c>
    </row>
    <row r="760" spans="1:1">
      <c r="A760" s="22" t="s">
        <v>1084</v>
      </c>
    </row>
    <row r="762" spans="1:1">
      <c r="A762" s="22" t="s">
        <v>548</v>
      </c>
    </row>
    <row r="764" spans="1:1">
      <c r="A764" s="19" t="s">
        <v>423</v>
      </c>
    </row>
    <row r="766" spans="1:1">
      <c r="A766" s="19" t="s">
        <v>424</v>
      </c>
    </row>
    <row r="768" spans="1:1">
      <c r="A768" s="22" t="s">
        <v>407</v>
      </c>
    </row>
    <row r="770" spans="1:1">
      <c r="A770" s="22">
        <v>2</v>
      </c>
    </row>
    <row r="772" spans="1:1">
      <c r="A772" s="22" t="s">
        <v>1085</v>
      </c>
    </row>
    <row r="774" spans="1:1">
      <c r="A774" s="22" t="s">
        <v>564</v>
      </c>
    </row>
    <row r="776" spans="1:1">
      <c r="A776" s="19" t="s">
        <v>423</v>
      </c>
    </row>
    <row r="778" spans="1:1">
      <c r="A778" s="19" t="s">
        <v>424</v>
      </c>
    </row>
    <row r="780" spans="1:1">
      <c r="A780" s="22" t="s">
        <v>407</v>
      </c>
    </row>
    <row r="782" spans="1:1">
      <c r="A782" s="22">
        <v>6</v>
      </c>
    </row>
    <row r="784" spans="1:1">
      <c r="A784" s="22" t="s">
        <v>1086</v>
      </c>
    </row>
    <row r="786" spans="1:1">
      <c r="A786" s="22" t="s">
        <v>432</v>
      </c>
    </row>
    <row r="788" spans="1:1">
      <c r="A788" s="19" t="s">
        <v>423</v>
      </c>
    </row>
    <row r="790" spans="1:1">
      <c r="A790" s="19" t="s">
        <v>424</v>
      </c>
    </row>
    <row r="792" spans="1:1">
      <c r="A792" s="22" t="s">
        <v>407</v>
      </c>
    </row>
    <row r="794" spans="1:1">
      <c r="A794" s="22">
        <v>1</v>
      </c>
    </row>
    <row r="796" spans="1:1">
      <c r="A796" s="22" t="s">
        <v>1087</v>
      </c>
    </row>
    <row r="798" spans="1:1">
      <c r="A798" s="22" t="s">
        <v>432</v>
      </c>
    </row>
    <row r="800" spans="1:1">
      <c r="A800" s="19" t="s">
        <v>423</v>
      </c>
    </row>
    <row r="802" spans="1:1">
      <c r="A802" s="19" t="s">
        <v>424</v>
      </c>
    </row>
    <row r="804" spans="1:1">
      <c r="A804" s="22" t="s">
        <v>407</v>
      </c>
    </row>
    <row r="806" spans="1:1">
      <c r="A806" s="22">
        <v>1</v>
      </c>
    </row>
    <row r="808" spans="1:1">
      <c r="A808" s="22" t="s">
        <v>1088</v>
      </c>
    </row>
    <row r="810" spans="1:1">
      <c r="A810" s="22" t="s">
        <v>430</v>
      </c>
    </row>
    <row r="812" spans="1:1">
      <c r="A812" s="19" t="s">
        <v>423</v>
      </c>
    </row>
    <row r="814" spans="1:1">
      <c r="A814" s="19" t="s">
        <v>424</v>
      </c>
    </row>
    <row r="816" spans="1:1">
      <c r="A816" s="22" t="s">
        <v>407</v>
      </c>
    </row>
    <row r="818" spans="1:1">
      <c r="A818" s="22">
        <v>2</v>
      </c>
    </row>
    <row r="820" spans="1:1">
      <c r="A820" s="22" t="s">
        <v>1089</v>
      </c>
    </row>
    <row r="822" spans="1:1">
      <c r="A822" s="22" t="s">
        <v>1090</v>
      </c>
    </row>
    <row r="824" spans="1:1">
      <c r="A824" s="19" t="s">
        <v>423</v>
      </c>
    </row>
    <row r="826" spans="1:1">
      <c r="A826" s="19" t="s">
        <v>424</v>
      </c>
    </row>
    <row r="828" spans="1:1">
      <c r="A828" s="22" t="s">
        <v>407</v>
      </c>
    </row>
    <row r="830" spans="1:1">
      <c r="A830" s="22">
        <v>3</v>
      </c>
    </row>
    <row r="832" spans="1:1">
      <c r="A832" s="19" t="s">
        <v>515</v>
      </c>
    </row>
    <row r="834" spans="1:1">
      <c r="A834" s="22" t="s">
        <v>133</v>
      </c>
    </row>
    <row r="835" spans="1:1">
      <c r="A835" s="22" t="s">
        <v>131</v>
      </c>
    </row>
    <row r="836" spans="1:1">
      <c r="A836" s="22" t="s">
        <v>389</v>
      </c>
    </row>
    <row r="838" spans="1:1">
      <c r="A838" s="19" t="s">
        <v>400</v>
      </c>
    </row>
    <row r="840" spans="1:1">
      <c r="A840" s="19" t="s">
        <v>1019</v>
      </c>
    </row>
    <row r="842" spans="1:1">
      <c r="A842" s="22" t="s">
        <v>1028</v>
      </c>
    </row>
    <row r="844" spans="1:1">
      <c r="A844" s="22" t="s">
        <v>1091</v>
      </c>
    </row>
    <row r="846" spans="1:1">
      <c r="A846" s="22" t="s">
        <v>1092</v>
      </c>
    </row>
    <row r="848" spans="1:1">
      <c r="A848" s="19" t="s">
        <v>406</v>
      </c>
    </row>
    <row r="850" spans="1:1">
      <c r="A850" s="22" t="s">
        <v>407</v>
      </c>
    </row>
    <row r="852" spans="1:1">
      <c r="A852" s="22">
        <v>2</v>
      </c>
    </row>
    <row r="854" spans="1:1">
      <c r="A854" s="22" t="s">
        <v>1093</v>
      </c>
    </row>
    <row r="856" spans="1:1">
      <c r="A856" s="22" t="s">
        <v>441</v>
      </c>
    </row>
    <row r="858" spans="1:1">
      <c r="A858" s="19" t="s">
        <v>423</v>
      </c>
    </row>
    <row r="860" spans="1:1">
      <c r="A860" s="19" t="s">
        <v>424</v>
      </c>
    </row>
    <row r="862" spans="1:1">
      <c r="A862" s="22" t="s">
        <v>407</v>
      </c>
    </row>
    <row r="864" spans="1:1">
      <c r="A864" s="22">
        <v>2</v>
      </c>
    </row>
    <row r="866" spans="1:1">
      <c r="A866" s="22" t="s">
        <v>1094</v>
      </c>
    </row>
    <row r="868" spans="1:1">
      <c r="A868" s="22" t="s">
        <v>1056</v>
      </c>
    </row>
    <row r="870" spans="1:1">
      <c r="A870" s="19" t="s">
        <v>423</v>
      </c>
    </row>
    <row r="872" spans="1:1">
      <c r="A872" s="19" t="s">
        <v>424</v>
      </c>
    </row>
    <row r="874" spans="1:1">
      <c r="A874" s="22" t="s">
        <v>407</v>
      </c>
    </row>
    <row r="876" spans="1:1">
      <c r="A876" s="22">
        <v>2</v>
      </c>
    </row>
    <row r="878" spans="1:1">
      <c r="A878" s="22" t="s">
        <v>1095</v>
      </c>
    </row>
    <row r="880" spans="1:1">
      <c r="A880" s="22" t="s">
        <v>1096</v>
      </c>
    </row>
    <row r="882" spans="1:1">
      <c r="A882" s="19" t="s">
        <v>423</v>
      </c>
    </row>
    <row r="884" spans="1:1">
      <c r="A884" s="19" t="s">
        <v>424</v>
      </c>
    </row>
    <row r="886" spans="1:1">
      <c r="A886" s="22" t="s">
        <v>407</v>
      </c>
    </row>
    <row r="888" spans="1:1">
      <c r="A888" s="22">
        <v>3</v>
      </c>
    </row>
    <row r="890" spans="1:1">
      <c r="A890" s="22" t="s">
        <v>1097</v>
      </c>
    </row>
    <row r="892" spans="1:1">
      <c r="A892" s="22" t="s">
        <v>1096</v>
      </c>
    </row>
    <row r="894" spans="1:1">
      <c r="A894" s="19" t="s">
        <v>423</v>
      </c>
    </row>
    <row r="896" spans="1:1">
      <c r="A896" s="19" t="s">
        <v>424</v>
      </c>
    </row>
    <row r="898" spans="1:1">
      <c r="A898" s="22" t="s">
        <v>407</v>
      </c>
    </row>
    <row r="900" spans="1:1">
      <c r="A900" s="22">
        <v>2</v>
      </c>
    </row>
    <row r="902" spans="1:1">
      <c r="A902" s="22" t="s">
        <v>1098</v>
      </c>
    </row>
    <row r="904" spans="1:1">
      <c r="A904" s="22" t="s">
        <v>422</v>
      </c>
    </row>
    <row r="906" spans="1:1">
      <c r="A906" s="19" t="s">
        <v>423</v>
      </c>
    </row>
    <row r="908" spans="1:1">
      <c r="A908" s="19" t="s">
        <v>424</v>
      </c>
    </row>
    <row r="910" spans="1:1">
      <c r="A910" s="22" t="s">
        <v>407</v>
      </c>
    </row>
    <row r="912" spans="1:1">
      <c r="A912" s="22">
        <v>2</v>
      </c>
    </row>
    <row r="914" spans="1:1">
      <c r="A914" s="22" t="s">
        <v>1099</v>
      </c>
    </row>
    <row r="916" spans="1:1">
      <c r="A916" s="22" t="s">
        <v>441</v>
      </c>
    </row>
    <row r="918" spans="1:1">
      <c r="A918" s="19" t="s">
        <v>423</v>
      </c>
    </row>
    <row r="920" spans="1:1">
      <c r="A920" s="19" t="s">
        <v>424</v>
      </c>
    </row>
    <row r="922" spans="1:1">
      <c r="A922" s="22" t="s">
        <v>407</v>
      </c>
    </row>
    <row r="924" spans="1:1">
      <c r="A924" s="22">
        <v>2</v>
      </c>
    </row>
    <row r="926" spans="1:1">
      <c r="A926" s="22" t="s">
        <v>1100</v>
      </c>
    </row>
    <row r="928" spans="1:1">
      <c r="A928" s="22" t="s">
        <v>1092</v>
      </c>
    </row>
    <row r="930" spans="1:1">
      <c r="A930" s="19" t="s">
        <v>423</v>
      </c>
    </row>
    <row r="932" spans="1:1">
      <c r="A932" s="19" t="s">
        <v>424</v>
      </c>
    </row>
    <row r="934" spans="1:1">
      <c r="A934" s="22" t="s">
        <v>407</v>
      </c>
    </row>
    <row r="936" spans="1:1">
      <c r="A936" s="22">
        <v>2</v>
      </c>
    </row>
    <row r="938" spans="1:1">
      <c r="A938" s="19" t="s">
        <v>530</v>
      </c>
    </row>
    <row r="940" spans="1:1">
      <c r="A940" s="22" t="s">
        <v>133</v>
      </c>
    </row>
    <row r="941" spans="1:1">
      <c r="A941" s="22" t="s">
        <v>131</v>
      </c>
    </row>
    <row r="942" spans="1:1">
      <c r="A942" s="22" t="s">
        <v>389</v>
      </c>
    </row>
    <row r="944" spans="1:1">
      <c r="A944" s="19" t="s">
        <v>400</v>
      </c>
    </row>
    <row r="946" spans="1:1">
      <c r="A946" s="19" t="s">
        <v>1019</v>
      </c>
    </row>
    <row r="948" spans="1:1">
      <c r="A948" s="22" t="s">
        <v>1028</v>
      </c>
    </row>
    <row r="950" spans="1:1">
      <c r="A950" s="22" t="s">
        <v>1101</v>
      </c>
    </row>
    <row r="952" spans="1:1">
      <c r="A952" s="22" t="s">
        <v>495</v>
      </c>
    </row>
    <row r="954" spans="1:1">
      <c r="A954" s="19" t="s">
        <v>406</v>
      </c>
    </row>
    <row r="956" spans="1:1">
      <c r="A956" s="22" t="s">
        <v>407</v>
      </c>
    </row>
    <row r="958" spans="1:1">
      <c r="A958" s="22">
        <v>6</v>
      </c>
    </row>
    <row r="960" spans="1:1">
      <c r="A960" s="22" t="s">
        <v>1102</v>
      </c>
    </row>
    <row r="962" spans="1:1">
      <c r="A962" s="22" t="s">
        <v>444</v>
      </c>
    </row>
    <row r="964" spans="1:1">
      <c r="A964" s="19" t="s">
        <v>423</v>
      </c>
    </row>
    <row r="966" spans="1:1">
      <c r="A966" s="19" t="s">
        <v>424</v>
      </c>
    </row>
    <row r="968" spans="1:1">
      <c r="A968" s="22" t="s">
        <v>407</v>
      </c>
    </row>
    <row r="970" spans="1:1">
      <c r="A970" s="22">
        <v>6</v>
      </c>
    </row>
    <row r="972" spans="1:1">
      <c r="A972" s="22" t="s">
        <v>1103</v>
      </c>
    </row>
    <row r="974" spans="1:1">
      <c r="A974" s="22" t="s">
        <v>448</v>
      </c>
    </row>
    <row r="976" spans="1:1">
      <c r="A976" s="19" t="s">
        <v>423</v>
      </c>
    </row>
    <row r="978" spans="1:1">
      <c r="A978" s="19" t="s">
        <v>424</v>
      </c>
    </row>
    <row r="980" spans="1:1">
      <c r="A980" s="22" t="s">
        <v>407</v>
      </c>
    </row>
    <row r="982" spans="1:1">
      <c r="A982" s="22">
        <v>4</v>
      </c>
    </row>
    <row r="984" spans="1:1">
      <c r="A984" s="22" t="s">
        <v>1104</v>
      </c>
    </row>
    <row r="986" spans="1:1">
      <c r="A986" s="22" t="s">
        <v>926</v>
      </c>
    </row>
    <row r="988" spans="1:1">
      <c r="A988" s="19" t="s">
        <v>423</v>
      </c>
    </row>
    <row r="990" spans="1:1">
      <c r="A990" s="19" t="s">
        <v>424</v>
      </c>
    </row>
    <row r="992" spans="1:1">
      <c r="A992" s="22" t="s">
        <v>407</v>
      </c>
    </row>
    <row r="994" spans="1:1">
      <c r="A994" s="22">
        <v>2</v>
      </c>
    </row>
    <row r="996" spans="1:1">
      <c r="A996" s="22" t="s">
        <v>1105</v>
      </c>
    </row>
    <row r="998" spans="1:1">
      <c r="A998" s="22" t="s">
        <v>453</v>
      </c>
    </row>
    <row r="1000" spans="1:1">
      <c r="A1000" s="19" t="s">
        <v>423</v>
      </c>
    </row>
    <row r="1002" spans="1:1">
      <c r="A1002" s="19" t="s">
        <v>424</v>
      </c>
    </row>
    <row r="1004" spans="1:1">
      <c r="A1004" s="22" t="s">
        <v>407</v>
      </c>
    </row>
    <row r="1006" spans="1:1">
      <c r="A1006" s="22">
        <v>2</v>
      </c>
    </row>
    <row r="1008" spans="1:1">
      <c r="A1008" s="22" t="s">
        <v>1106</v>
      </c>
    </row>
    <row r="1010" spans="1:1">
      <c r="A1010" s="22" t="s">
        <v>456</v>
      </c>
    </row>
    <row r="1012" spans="1:1">
      <c r="A1012" s="19" t="s">
        <v>423</v>
      </c>
    </row>
    <row r="1014" spans="1:1">
      <c r="A1014" s="19" t="s">
        <v>424</v>
      </c>
    </row>
    <row r="1016" spans="1:1">
      <c r="A1016" s="22" t="s">
        <v>407</v>
      </c>
    </row>
    <row r="1018" spans="1:1">
      <c r="A1018" s="22">
        <v>4</v>
      </c>
    </row>
    <row r="1020" spans="1:1">
      <c r="A1020" s="22" t="s">
        <v>1107</v>
      </c>
    </row>
    <row r="1022" spans="1:1">
      <c r="A1022" s="22" t="s">
        <v>1108</v>
      </c>
    </row>
    <row r="1024" spans="1:1">
      <c r="A1024" s="19" t="s">
        <v>423</v>
      </c>
    </row>
    <row r="1026" spans="1:1">
      <c r="A1026" s="19" t="s">
        <v>424</v>
      </c>
    </row>
    <row r="1028" spans="1:1">
      <c r="A1028" s="22" t="s">
        <v>407</v>
      </c>
    </row>
    <row r="1030" spans="1:1">
      <c r="A1030" s="22">
        <v>2</v>
      </c>
    </row>
    <row r="1032" spans="1:1">
      <c r="A1032" s="22" t="s">
        <v>1109</v>
      </c>
    </row>
    <row r="1034" spans="1:1">
      <c r="A1034" s="22" t="s">
        <v>764</v>
      </c>
    </row>
    <row r="1036" spans="1:1">
      <c r="A1036" s="19" t="s">
        <v>423</v>
      </c>
    </row>
    <row r="1038" spans="1:1">
      <c r="A1038" s="19" t="s">
        <v>424</v>
      </c>
    </row>
    <row r="1040" spans="1:1">
      <c r="A1040" s="22" t="s">
        <v>407</v>
      </c>
    </row>
    <row r="1042" spans="1:1">
      <c r="A1042" s="22">
        <v>2</v>
      </c>
    </row>
    <row r="1044" spans="1:1">
      <c r="A1044" s="19" t="s">
        <v>545</v>
      </c>
    </row>
    <row r="1046" spans="1:1">
      <c r="A1046" s="22" t="s">
        <v>133</v>
      </c>
    </row>
    <row r="1047" spans="1:1">
      <c r="A1047" s="22" t="s">
        <v>131</v>
      </c>
    </row>
    <row r="1048" spans="1:1">
      <c r="A1048" s="22" t="s">
        <v>389</v>
      </c>
    </row>
    <row r="1050" spans="1:1">
      <c r="A1050" s="19" t="s">
        <v>400</v>
      </c>
    </row>
    <row r="1052" spans="1:1">
      <c r="A1052" s="19" t="s">
        <v>1019</v>
      </c>
    </row>
    <row r="1054" spans="1:1">
      <c r="A1054" s="22" t="s">
        <v>1028</v>
      </c>
    </row>
    <row r="1056" spans="1:1">
      <c r="A1056" s="22" t="s">
        <v>1110</v>
      </c>
    </row>
    <row r="1058" spans="1:1">
      <c r="A1058" s="22" t="s">
        <v>1111</v>
      </c>
    </row>
    <row r="1060" spans="1:1">
      <c r="A1060" s="19" t="s">
        <v>406</v>
      </c>
    </row>
    <row r="1062" spans="1:1">
      <c r="A1062" s="22" t="s">
        <v>407</v>
      </c>
    </row>
    <row r="1064" spans="1:1">
      <c r="A1064" s="22">
        <v>2</v>
      </c>
    </row>
    <row r="1066" spans="1:1">
      <c r="A1066" s="22" t="s">
        <v>1112</v>
      </c>
    </row>
    <row r="1068" spans="1:1">
      <c r="A1068" s="22" t="s">
        <v>871</v>
      </c>
    </row>
    <row r="1070" spans="1:1">
      <c r="A1070" s="19" t="s">
        <v>423</v>
      </c>
    </row>
    <row r="1072" spans="1:1">
      <c r="A1072" s="19" t="s">
        <v>424</v>
      </c>
    </row>
    <row r="1074" spans="1:1">
      <c r="A1074" s="22" t="s">
        <v>407</v>
      </c>
    </row>
    <row r="1076" spans="1:1">
      <c r="A1076" s="22">
        <v>2</v>
      </c>
    </row>
    <row r="1078" spans="1:1">
      <c r="A1078" s="22" t="s">
        <v>1113</v>
      </c>
    </row>
    <row r="1080" spans="1:1">
      <c r="A1080" s="22" t="s">
        <v>930</v>
      </c>
    </row>
    <row r="1082" spans="1:1">
      <c r="A1082" s="19" t="s">
        <v>423</v>
      </c>
    </row>
    <row r="1084" spans="1:1">
      <c r="A1084" s="19" t="s">
        <v>424</v>
      </c>
    </row>
    <row r="1086" spans="1:1">
      <c r="A1086" s="22" t="s">
        <v>407</v>
      </c>
    </row>
    <row r="1088" spans="1:1">
      <c r="A1088" s="22">
        <v>2</v>
      </c>
    </row>
    <row r="1090" spans="1:1">
      <c r="A1090" s="22" t="s">
        <v>1114</v>
      </c>
    </row>
    <row r="1092" spans="1:1">
      <c r="A1092" s="22" t="s">
        <v>462</v>
      </c>
    </row>
    <row r="1094" spans="1:1">
      <c r="A1094" s="19" t="s">
        <v>423</v>
      </c>
    </row>
    <row r="1096" spans="1:1">
      <c r="A1096" s="19" t="s">
        <v>424</v>
      </c>
    </row>
    <row r="1098" spans="1:1">
      <c r="A1098" s="22" t="s">
        <v>407</v>
      </c>
    </row>
    <row r="1100" spans="1:1">
      <c r="A1100" s="22">
        <v>2</v>
      </c>
    </row>
    <row r="1102" spans="1:1">
      <c r="A1102" s="22" t="s">
        <v>1115</v>
      </c>
    </row>
    <row r="1104" spans="1:1">
      <c r="A1104" s="22" t="s">
        <v>467</v>
      </c>
    </row>
    <row r="1106" spans="1:1">
      <c r="A1106" s="19" t="s">
        <v>423</v>
      </c>
    </row>
    <row r="1108" spans="1:1">
      <c r="A1108" s="19" t="s">
        <v>424</v>
      </c>
    </row>
    <row r="1110" spans="1:1">
      <c r="A1110" s="22" t="s">
        <v>407</v>
      </c>
    </row>
    <row r="1112" spans="1:1">
      <c r="A1112" s="22">
        <v>2</v>
      </c>
    </row>
    <row r="1114" spans="1:1">
      <c r="A1114" s="22" t="s">
        <v>1116</v>
      </c>
    </row>
    <row r="1116" spans="1:1">
      <c r="A1116" s="22" t="s">
        <v>837</v>
      </c>
    </row>
    <row r="1118" spans="1:1">
      <c r="A1118" s="19" t="s">
        <v>423</v>
      </c>
    </row>
    <row r="1120" spans="1:1">
      <c r="A1120" s="19" t="s">
        <v>424</v>
      </c>
    </row>
    <row r="1122" spans="1:1">
      <c r="A1122" s="22" t="s">
        <v>407</v>
      </c>
    </row>
    <row r="1124" spans="1:1">
      <c r="A1124" s="22">
        <v>2</v>
      </c>
    </row>
    <row r="1126" spans="1:1">
      <c r="A1126" s="22" t="s">
        <v>1117</v>
      </c>
    </row>
    <row r="1128" spans="1:1">
      <c r="A1128" s="22" t="s">
        <v>1118</v>
      </c>
    </row>
    <row r="1130" spans="1:1">
      <c r="A1130" s="19" t="s">
        <v>423</v>
      </c>
    </row>
    <row r="1132" spans="1:1">
      <c r="A1132" s="19" t="s">
        <v>424</v>
      </c>
    </row>
    <row r="1134" spans="1:1">
      <c r="A1134" s="22" t="s">
        <v>407</v>
      </c>
    </row>
    <row r="1136" spans="1:1">
      <c r="A1136" s="22">
        <v>2</v>
      </c>
    </row>
    <row r="1138" spans="1:1">
      <c r="A1138" s="22" t="s">
        <v>1119</v>
      </c>
    </row>
    <row r="1140" spans="1:1">
      <c r="A1140" s="22" t="s">
        <v>1120</v>
      </c>
    </row>
    <row r="1142" spans="1:1">
      <c r="A1142" s="19" t="s">
        <v>423</v>
      </c>
    </row>
    <row r="1144" spans="1:1">
      <c r="A1144" s="19" t="s">
        <v>424</v>
      </c>
    </row>
    <row r="1146" spans="1:1">
      <c r="A1146" s="22" t="s">
        <v>407</v>
      </c>
    </row>
    <row r="1148" spans="1:1">
      <c r="A1148" s="22">
        <v>4</v>
      </c>
    </row>
    <row r="1150" spans="1:1">
      <c r="A1150" s="19" t="s">
        <v>558</v>
      </c>
    </row>
    <row r="1152" spans="1:1">
      <c r="A1152" s="22" t="s">
        <v>133</v>
      </c>
    </row>
    <row r="1153" spans="1:1">
      <c r="A1153" s="22" t="s">
        <v>131</v>
      </c>
    </row>
    <row r="1154" spans="1:1">
      <c r="A1154" s="22" t="s">
        <v>389</v>
      </c>
    </row>
    <row r="1156" spans="1:1">
      <c r="A1156" s="19" t="s">
        <v>400</v>
      </c>
    </row>
    <row r="1158" spans="1:1">
      <c r="A1158" s="19" t="s">
        <v>1019</v>
      </c>
    </row>
    <row r="1160" spans="1:1">
      <c r="A1160" s="22" t="s">
        <v>1028</v>
      </c>
    </row>
    <row r="1162" spans="1:1">
      <c r="A1162" s="22" t="s">
        <v>1121</v>
      </c>
    </row>
    <row r="1164" spans="1:1">
      <c r="A1164" s="22" t="s">
        <v>548</v>
      </c>
    </row>
    <row r="1166" spans="1:1">
      <c r="A1166" s="19" t="s">
        <v>406</v>
      </c>
    </row>
    <row r="1168" spans="1:1">
      <c r="A1168" s="22" t="s">
        <v>407</v>
      </c>
    </row>
    <row r="1170" spans="1:1">
      <c r="A1170" s="22">
        <v>2</v>
      </c>
    </row>
    <row r="1172" spans="1:1">
      <c r="A1172" s="22" t="s">
        <v>1122</v>
      </c>
    </row>
    <row r="1174" spans="1:1">
      <c r="A1174" s="22" t="s">
        <v>617</v>
      </c>
    </row>
    <row r="1176" spans="1:1">
      <c r="A1176" s="19" t="s">
        <v>423</v>
      </c>
    </row>
    <row r="1178" spans="1:1">
      <c r="A1178" s="19" t="s">
        <v>424</v>
      </c>
    </row>
    <row r="1180" spans="1:1">
      <c r="A1180" s="22" t="s">
        <v>407</v>
      </c>
    </row>
    <row r="1182" spans="1:1">
      <c r="A1182" s="22">
        <v>2</v>
      </c>
    </row>
    <row r="1184" spans="1:1">
      <c r="A1184" s="22" t="s">
        <v>1123</v>
      </c>
    </row>
    <row r="1186" spans="1:1">
      <c r="A1186" s="22" t="s">
        <v>1124</v>
      </c>
    </row>
    <row r="1188" spans="1:1">
      <c r="A1188" s="19" t="s">
        <v>423</v>
      </c>
    </row>
    <row r="1190" spans="1:1">
      <c r="A1190" s="19" t="s">
        <v>424</v>
      </c>
    </row>
    <row r="1192" spans="1:1">
      <c r="A1192" s="22" t="s">
        <v>407</v>
      </c>
    </row>
    <row r="1194" spans="1:1">
      <c r="A1194" s="22">
        <v>2</v>
      </c>
    </row>
    <row r="1196" spans="1:1">
      <c r="A1196" s="22" t="s">
        <v>1125</v>
      </c>
    </row>
    <row r="1198" spans="1:1">
      <c r="A1198" s="22" t="s">
        <v>514</v>
      </c>
    </row>
    <row r="1200" spans="1:1">
      <c r="A1200" s="19" t="s">
        <v>423</v>
      </c>
    </row>
    <row r="1202" spans="1:1">
      <c r="A1202" s="19" t="s">
        <v>424</v>
      </c>
    </row>
    <row r="1204" spans="1:1">
      <c r="A1204" s="22" t="s">
        <v>407</v>
      </c>
    </row>
    <row r="1206" spans="1:1">
      <c r="A1206" s="22">
        <v>2</v>
      </c>
    </row>
    <row r="1208" spans="1:1">
      <c r="A1208" s="22" t="s">
        <v>1126</v>
      </c>
    </row>
    <row r="1210" spans="1:1">
      <c r="A1210" s="22" t="s">
        <v>552</v>
      </c>
    </row>
    <row r="1212" spans="1:1">
      <c r="A1212" s="19" t="s">
        <v>423</v>
      </c>
    </row>
    <row r="1214" spans="1:1">
      <c r="A1214" s="19" t="s">
        <v>424</v>
      </c>
    </row>
    <row r="1216" spans="1:1">
      <c r="A1216" s="22" t="s">
        <v>407</v>
      </c>
    </row>
    <row r="1218" spans="1:1">
      <c r="A1218" s="22">
        <v>3</v>
      </c>
    </row>
    <row r="1220" spans="1:1">
      <c r="A1220" s="22" t="s">
        <v>1127</v>
      </c>
    </row>
    <row r="1222" spans="1:1">
      <c r="A1222" s="22" t="s">
        <v>630</v>
      </c>
    </row>
    <row r="1224" spans="1:1">
      <c r="A1224" s="19" t="s">
        <v>423</v>
      </c>
    </row>
    <row r="1226" spans="1:1">
      <c r="A1226" s="19" t="s">
        <v>424</v>
      </c>
    </row>
    <row r="1228" spans="1:1">
      <c r="A1228" s="22" t="s">
        <v>407</v>
      </c>
    </row>
    <row r="1230" spans="1:1">
      <c r="A1230" s="22">
        <v>3</v>
      </c>
    </row>
    <row r="1232" spans="1:1">
      <c r="A1232" s="22" t="s">
        <v>1128</v>
      </c>
    </row>
    <row r="1234" spans="1:1">
      <c r="A1234" s="22" t="s">
        <v>538</v>
      </c>
    </row>
    <row r="1236" spans="1:1">
      <c r="A1236" s="19" t="s">
        <v>423</v>
      </c>
    </row>
    <row r="1238" spans="1:1">
      <c r="A1238" s="19" t="s">
        <v>424</v>
      </c>
    </row>
    <row r="1240" spans="1:1">
      <c r="A1240" s="22" t="s">
        <v>407</v>
      </c>
    </row>
    <row r="1242" spans="1:1">
      <c r="A1242" s="22">
        <v>2</v>
      </c>
    </row>
    <row r="1244" spans="1:1">
      <c r="A1244" s="22" t="s">
        <v>1129</v>
      </c>
    </row>
    <row r="1246" spans="1:1">
      <c r="A1246" s="22" t="s">
        <v>622</v>
      </c>
    </row>
    <row r="1248" spans="1:1">
      <c r="A1248" s="19" t="s">
        <v>423</v>
      </c>
    </row>
    <row r="1250" spans="1:1">
      <c r="A1250" s="19" t="s">
        <v>424</v>
      </c>
    </row>
    <row r="1252" spans="1:1">
      <c r="A1252" s="22" t="s">
        <v>407</v>
      </c>
    </row>
    <row r="1254" spans="1:1">
      <c r="A1254" s="22">
        <v>4</v>
      </c>
    </row>
    <row r="1256" spans="1:1">
      <c r="A1256" s="19" t="s">
        <v>570</v>
      </c>
    </row>
    <row r="1258" spans="1:1">
      <c r="A1258" s="22" t="s">
        <v>133</v>
      </c>
    </row>
    <row r="1259" spans="1:1">
      <c r="A1259" s="22" t="s">
        <v>131</v>
      </c>
    </row>
    <row r="1260" spans="1:1">
      <c r="A1260" s="22" t="s">
        <v>389</v>
      </c>
    </row>
    <row r="1262" spans="1:1">
      <c r="A1262" s="19" t="s">
        <v>400</v>
      </c>
    </row>
    <row r="1264" spans="1:1">
      <c r="A1264" s="19" t="s">
        <v>1019</v>
      </c>
    </row>
    <row r="1266" spans="1:1">
      <c r="A1266" s="22" t="s">
        <v>1028</v>
      </c>
    </row>
    <row r="1268" spans="1:1">
      <c r="A1268" s="22" t="s">
        <v>1130</v>
      </c>
    </row>
    <row r="1270" spans="1:1">
      <c r="A1270" s="22" t="s">
        <v>777</v>
      </c>
    </row>
    <row r="1272" spans="1:1">
      <c r="A1272" s="19" t="s">
        <v>406</v>
      </c>
    </row>
    <row r="1274" spans="1:1">
      <c r="A1274" s="22" t="s">
        <v>407</v>
      </c>
    </row>
    <row r="1276" spans="1:1">
      <c r="A1276" s="22">
        <v>3</v>
      </c>
    </row>
    <row r="1278" spans="1:1">
      <c r="A1278" s="22" t="s">
        <v>1131</v>
      </c>
    </row>
    <row r="1280" spans="1:1">
      <c r="A1280" s="22" t="s">
        <v>1132</v>
      </c>
    </row>
    <row r="1282" spans="1:1">
      <c r="A1282" s="19" t="s">
        <v>423</v>
      </c>
    </row>
    <row r="1284" spans="1:1">
      <c r="A1284" s="19" t="s">
        <v>424</v>
      </c>
    </row>
    <row r="1286" spans="1:1">
      <c r="A1286" s="22" t="s">
        <v>407</v>
      </c>
    </row>
    <row r="1288" spans="1:1">
      <c r="A1288" s="22">
        <v>2</v>
      </c>
    </row>
    <row r="1290" spans="1:1">
      <c r="A1290" s="22" t="s">
        <v>1133</v>
      </c>
    </row>
    <row r="1292" spans="1:1">
      <c r="A1292" s="22" t="s">
        <v>428</v>
      </c>
    </row>
    <row r="1294" spans="1:1">
      <c r="A1294" s="19" t="s">
        <v>423</v>
      </c>
    </row>
    <row r="1296" spans="1:1">
      <c r="A1296" s="19" t="s">
        <v>424</v>
      </c>
    </row>
    <row r="1298" spans="1:1">
      <c r="A1298" s="22" t="s">
        <v>407</v>
      </c>
    </row>
    <row r="1300" spans="1:1">
      <c r="A1300" s="22">
        <v>3</v>
      </c>
    </row>
    <row r="1302" spans="1:1">
      <c r="A1302" s="22" t="s">
        <v>1134</v>
      </c>
    </row>
    <row r="1304" spans="1:1">
      <c r="A1304" s="22" t="s">
        <v>453</v>
      </c>
    </row>
    <row r="1306" spans="1:1">
      <c r="A1306" s="19" t="s">
        <v>423</v>
      </c>
    </row>
    <row r="1308" spans="1:1">
      <c r="A1308" s="19" t="s">
        <v>424</v>
      </c>
    </row>
    <row r="1310" spans="1:1">
      <c r="A1310" s="22" t="s">
        <v>407</v>
      </c>
    </row>
    <row r="1312" spans="1:1">
      <c r="A1312" s="22">
        <v>2</v>
      </c>
    </row>
    <row r="1314" spans="1:1">
      <c r="A1314" s="22" t="s">
        <v>1135</v>
      </c>
    </row>
    <row r="1316" spans="1:1">
      <c r="A1316" s="22" t="s">
        <v>464</v>
      </c>
    </row>
    <row r="1318" spans="1:1">
      <c r="A1318" s="19" t="s">
        <v>423</v>
      </c>
    </row>
    <row r="1320" spans="1:1">
      <c r="A1320" s="19" t="s">
        <v>424</v>
      </c>
    </row>
    <row r="1322" spans="1:1">
      <c r="A1322" s="22" t="s">
        <v>407</v>
      </c>
    </row>
    <row r="1324" spans="1:1">
      <c r="A1324" s="22">
        <v>2</v>
      </c>
    </row>
    <row r="1326" spans="1:1">
      <c r="A1326" s="22" t="s">
        <v>1136</v>
      </c>
    </row>
    <row r="1328" spans="1:1">
      <c r="A1328" s="22" t="s">
        <v>436</v>
      </c>
    </row>
    <row r="1330" spans="1:1">
      <c r="A1330" s="19" t="s">
        <v>423</v>
      </c>
    </row>
    <row r="1332" spans="1:1">
      <c r="A1332" s="19" t="s">
        <v>424</v>
      </c>
    </row>
    <row r="1334" spans="1:1">
      <c r="A1334" s="22" t="s">
        <v>407</v>
      </c>
    </row>
    <row r="1336" spans="1:1">
      <c r="A1336" s="22">
        <v>3</v>
      </c>
    </row>
    <row r="1338" spans="1:1">
      <c r="A1338" s="22" t="s">
        <v>1137</v>
      </c>
    </row>
    <row r="1340" spans="1:1">
      <c r="A1340" s="22" t="s">
        <v>1138</v>
      </c>
    </row>
    <row r="1342" spans="1:1">
      <c r="A1342" s="19" t="s">
        <v>423</v>
      </c>
    </row>
    <row r="1344" spans="1:1">
      <c r="A1344" s="19" t="s">
        <v>424</v>
      </c>
    </row>
    <row r="1346" spans="1:1">
      <c r="A1346" s="22" t="s">
        <v>407</v>
      </c>
    </row>
    <row r="1348" spans="1:1">
      <c r="A1348" s="22">
        <v>2</v>
      </c>
    </row>
    <row r="1350" spans="1:1">
      <c r="A1350" s="22" t="s">
        <v>1139</v>
      </c>
    </row>
    <row r="1352" spans="1:1">
      <c r="A1352" s="22" t="s">
        <v>1138</v>
      </c>
    </row>
    <row r="1354" spans="1:1">
      <c r="A1354" s="19" t="s">
        <v>423</v>
      </c>
    </row>
    <row r="1356" spans="1:1">
      <c r="A1356" s="19" t="s">
        <v>424</v>
      </c>
    </row>
    <row r="1358" spans="1:1">
      <c r="A1358" s="22" t="s">
        <v>407</v>
      </c>
    </row>
    <row r="1360" spans="1:1">
      <c r="A1360" s="22">
        <v>2</v>
      </c>
    </row>
    <row r="1362" spans="1:1">
      <c r="A1362" s="19" t="s">
        <v>579</v>
      </c>
    </row>
    <row r="1364" spans="1:1">
      <c r="A1364" s="22" t="s">
        <v>133</v>
      </c>
    </row>
    <row r="1365" spans="1:1">
      <c r="A1365" s="22" t="s">
        <v>131</v>
      </c>
    </row>
    <row r="1366" spans="1:1">
      <c r="A1366" s="22" t="s">
        <v>389</v>
      </c>
    </row>
    <row r="1368" spans="1:1">
      <c r="A1368" s="19" t="s">
        <v>400</v>
      </c>
    </row>
    <row r="1370" spans="1:1">
      <c r="A1370" s="19" t="s">
        <v>1019</v>
      </c>
    </row>
    <row r="1372" spans="1:1">
      <c r="A1372" s="22" t="s">
        <v>1028</v>
      </c>
    </row>
    <row r="1374" spans="1:1">
      <c r="A1374" s="22" t="s">
        <v>1140</v>
      </c>
    </row>
    <row r="1376" spans="1:1">
      <c r="A1376" s="22" t="s">
        <v>630</v>
      </c>
    </row>
    <row r="1378" spans="1:1">
      <c r="A1378" s="19" t="s">
        <v>406</v>
      </c>
    </row>
    <row r="1380" spans="1:1">
      <c r="A1380" s="22" t="s">
        <v>407</v>
      </c>
    </row>
    <row r="1382" spans="1:1">
      <c r="A1382" s="22">
        <v>6</v>
      </c>
    </row>
    <row r="1384" spans="1:1">
      <c r="A1384" s="22" t="s">
        <v>1141</v>
      </c>
    </row>
    <row r="1386" spans="1:1">
      <c r="A1386" s="22" t="s">
        <v>630</v>
      </c>
    </row>
    <row r="1388" spans="1:1">
      <c r="A1388" s="19" t="s">
        <v>423</v>
      </c>
    </row>
    <row r="1390" spans="1:1">
      <c r="A1390" s="19" t="s">
        <v>424</v>
      </c>
    </row>
    <row r="1392" spans="1:1">
      <c r="A1392" s="22" t="s">
        <v>407</v>
      </c>
    </row>
    <row r="1394" spans="1:1">
      <c r="A1394" s="22">
        <v>3</v>
      </c>
    </row>
    <row r="1396" spans="1:1">
      <c r="A1396" s="22" t="s">
        <v>1142</v>
      </c>
    </row>
    <row r="1398" spans="1:1">
      <c r="A1398" s="22" t="s">
        <v>630</v>
      </c>
    </row>
    <row r="1400" spans="1:1">
      <c r="A1400" s="19" t="s">
        <v>423</v>
      </c>
    </row>
    <row r="1402" spans="1:1">
      <c r="A1402" s="19" t="s">
        <v>424</v>
      </c>
    </row>
    <row r="1404" spans="1:1">
      <c r="A1404" s="22" t="s">
        <v>407</v>
      </c>
    </row>
    <row r="1406" spans="1:1">
      <c r="A1406" s="22">
        <v>3</v>
      </c>
    </row>
    <row r="1408" spans="1:1">
      <c r="A1408" s="22" t="s">
        <v>1143</v>
      </c>
    </row>
    <row r="1410" spans="1:1">
      <c r="A1410" s="22" t="s">
        <v>436</v>
      </c>
    </row>
    <row r="1412" spans="1:1">
      <c r="A1412" s="19" t="s">
        <v>423</v>
      </c>
    </row>
    <row r="1414" spans="1:1">
      <c r="A1414" s="19" t="s">
        <v>424</v>
      </c>
    </row>
    <row r="1416" spans="1:1">
      <c r="A1416" s="22" t="s">
        <v>407</v>
      </c>
    </row>
    <row r="1418" spans="1:1">
      <c r="A1418" s="22">
        <v>3</v>
      </c>
    </row>
    <row r="1420" spans="1:1">
      <c r="A1420" s="22" t="s">
        <v>1144</v>
      </c>
    </row>
    <row r="1422" spans="1:1">
      <c r="A1422" s="22" t="s">
        <v>418</v>
      </c>
    </row>
    <row r="1424" spans="1:1">
      <c r="A1424" s="19" t="s">
        <v>423</v>
      </c>
    </row>
    <row r="1426" spans="1:1">
      <c r="A1426" s="19" t="s">
        <v>424</v>
      </c>
    </row>
    <row r="1428" spans="1:1">
      <c r="A1428" s="22" t="s">
        <v>407</v>
      </c>
    </row>
    <row r="1430" spans="1:1">
      <c r="A1430" s="22">
        <v>3</v>
      </c>
    </row>
    <row r="1432" spans="1:1">
      <c r="A1432" s="22" t="s">
        <v>1145</v>
      </c>
    </row>
    <row r="1434" spans="1:1">
      <c r="A1434" s="22" t="s">
        <v>523</v>
      </c>
    </row>
    <row r="1436" spans="1:1">
      <c r="A1436" s="19" t="s">
        <v>423</v>
      </c>
    </row>
    <row r="1438" spans="1:1">
      <c r="A1438" s="19" t="s">
        <v>424</v>
      </c>
    </row>
    <row r="1440" spans="1:1">
      <c r="A1440" s="22" t="s">
        <v>407</v>
      </c>
    </row>
    <row r="1442" spans="1:1">
      <c r="A1442" s="22">
        <v>3</v>
      </c>
    </row>
    <row r="1444" spans="1:1">
      <c r="A1444" s="22" t="s">
        <v>1146</v>
      </c>
    </row>
    <row r="1446" spans="1:1">
      <c r="A1446" s="22" t="s">
        <v>532</v>
      </c>
    </row>
    <row r="1448" spans="1:1">
      <c r="A1448" s="19" t="s">
        <v>423</v>
      </c>
    </row>
    <row r="1450" spans="1:1">
      <c r="A1450" s="19" t="s">
        <v>424</v>
      </c>
    </row>
    <row r="1452" spans="1:1">
      <c r="A1452" s="22" t="s">
        <v>407</v>
      </c>
    </row>
    <row r="1454" spans="1:1">
      <c r="A1454" s="22">
        <v>3</v>
      </c>
    </row>
    <row r="1456" spans="1:1">
      <c r="A1456" s="22" t="s">
        <v>1147</v>
      </c>
    </row>
    <row r="1458" spans="1:1">
      <c r="A1458" s="22" t="s">
        <v>523</v>
      </c>
    </row>
    <row r="1460" spans="1:1">
      <c r="A1460" s="19" t="s">
        <v>423</v>
      </c>
    </row>
    <row r="1462" spans="1:1">
      <c r="A1462" s="19" t="s">
        <v>424</v>
      </c>
    </row>
    <row r="1464" spans="1:1">
      <c r="A1464" s="22" t="s">
        <v>407</v>
      </c>
    </row>
    <row r="1466" spans="1:1">
      <c r="A1466" s="22">
        <v>3</v>
      </c>
    </row>
    <row r="1468" spans="1:1">
      <c r="A1468" s="19" t="s">
        <v>593</v>
      </c>
    </row>
    <row r="1470" spans="1:1">
      <c r="A1470" s="22" t="s">
        <v>133</v>
      </c>
    </row>
    <row r="1471" spans="1:1">
      <c r="A1471" s="22" t="s">
        <v>131</v>
      </c>
    </row>
    <row r="1472" spans="1:1">
      <c r="A1472" s="22" t="s">
        <v>389</v>
      </c>
    </row>
    <row r="1474" spans="1:1">
      <c r="A1474" s="19" t="s">
        <v>400</v>
      </c>
    </row>
    <row r="1476" spans="1:1">
      <c r="A1476" s="19" t="s">
        <v>1019</v>
      </c>
    </row>
    <row r="1478" spans="1:1">
      <c r="A1478" s="22" t="s">
        <v>1028</v>
      </c>
    </row>
    <row r="1480" spans="1:1">
      <c r="A1480" s="22" t="s">
        <v>1148</v>
      </c>
    </row>
    <row r="1482" spans="1:1">
      <c r="A1482" s="22" t="s">
        <v>460</v>
      </c>
    </row>
    <row r="1484" spans="1:1">
      <c r="A1484" s="19" t="s">
        <v>406</v>
      </c>
    </row>
    <row r="1486" spans="1:1">
      <c r="A1486" s="22" t="s">
        <v>407</v>
      </c>
    </row>
    <row r="1488" spans="1:1">
      <c r="A1488" s="22">
        <v>8</v>
      </c>
    </row>
    <row r="1490" spans="1:1">
      <c r="A1490" s="22" t="s">
        <v>1149</v>
      </c>
    </row>
    <row r="1492" spans="1:1">
      <c r="A1492" s="22" t="s">
        <v>601</v>
      </c>
    </row>
    <row r="1494" spans="1:1">
      <c r="A1494" s="19" t="s">
        <v>423</v>
      </c>
    </row>
    <row r="1496" spans="1:1">
      <c r="A1496" s="19" t="s">
        <v>424</v>
      </c>
    </row>
    <row r="1498" spans="1:1">
      <c r="A1498" s="22" t="s">
        <v>407</v>
      </c>
    </row>
    <row r="1500" spans="1:1">
      <c r="A1500" s="22">
        <v>2</v>
      </c>
    </row>
    <row r="1502" spans="1:1">
      <c r="A1502" s="22" t="s">
        <v>1150</v>
      </c>
    </row>
    <row r="1504" spans="1:1">
      <c r="A1504" s="22" t="s">
        <v>641</v>
      </c>
    </row>
    <row r="1506" spans="1:1">
      <c r="A1506" s="19" t="s">
        <v>423</v>
      </c>
    </row>
    <row r="1508" spans="1:1">
      <c r="A1508" s="19" t="s">
        <v>424</v>
      </c>
    </row>
    <row r="1510" spans="1:1">
      <c r="A1510" s="22" t="s">
        <v>407</v>
      </c>
    </row>
    <row r="1512" spans="1:1">
      <c r="A1512" s="22">
        <v>2</v>
      </c>
    </row>
    <row r="1514" spans="1:1">
      <c r="A1514" s="22" t="s">
        <v>1151</v>
      </c>
    </row>
    <row r="1516" spans="1:1">
      <c r="A1516" s="22" t="s">
        <v>669</v>
      </c>
    </row>
    <row r="1518" spans="1:1">
      <c r="A1518" s="19" t="s">
        <v>423</v>
      </c>
    </row>
    <row r="1520" spans="1:1">
      <c r="A1520" s="19" t="s">
        <v>424</v>
      </c>
    </row>
    <row r="1522" spans="1:1">
      <c r="A1522" s="22" t="s">
        <v>407</v>
      </c>
    </row>
    <row r="1524" spans="1:1">
      <c r="A1524" s="22">
        <v>2</v>
      </c>
    </row>
    <row r="1526" spans="1:1">
      <c r="A1526" s="22" t="s">
        <v>1152</v>
      </c>
    </row>
    <row r="1528" spans="1:1">
      <c r="A1528" s="22" t="s">
        <v>650</v>
      </c>
    </row>
    <row r="1530" spans="1:1">
      <c r="A1530" s="19" t="s">
        <v>423</v>
      </c>
    </row>
    <row r="1532" spans="1:1">
      <c r="A1532" s="19" t="s">
        <v>424</v>
      </c>
    </row>
    <row r="1534" spans="1:1">
      <c r="A1534" s="22" t="s">
        <v>407</v>
      </c>
    </row>
    <row r="1536" spans="1:1">
      <c r="A1536" s="22">
        <v>6</v>
      </c>
    </row>
    <row r="1538" spans="1:1">
      <c r="A1538" s="22" t="s">
        <v>1153</v>
      </c>
    </row>
    <row r="1540" spans="1:1">
      <c r="A1540" s="22" t="s">
        <v>650</v>
      </c>
    </row>
    <row r="1542" spans="1:1">
      <c r="A1542" s="19" t="s">
        <v>423</v>
      </c>
    </row>
    <row r="1544" spans="1:1">
      <c r="A1544" s="19" t="s">
        <v>424</v>
      </c>
    </row>
    <row r="1546" spans="1:1">
      <c r="A1546" s="22" t="s">
        <v>407</v>
      </c>
    </row>
    <row r="1548" spans="1:1">
      <c r="A1548" s="22">
        <v>6</v>
      </c>
    </row>
    <row r="1550" spans="1:1">
      <c r="A1550" s="22" t="s">
        <v>1154</v>
      </c>
    </row>
    <row r="1552" spans="1:1">
      <c r="A1552" s="22" t="s">
        <v>741</v>
      </c>
    </row>
    <row r="1554" spans="1:1">
      <c r="A1554" s="19" t="s">
        <v>423</v>
      </c>
    </row>
    <row r="1556" spans="1:1">
      <c r="A1556" s="19" t="s">
        <v>424</v>
      </c>
    </row>
    <row r="1558" spans="1:1">
      <c r="A1558" s="22" t="s">
        <v>407</v>
      </c>
    </row>
    <row r="1560" spans="1:1">
      <c r="A1560" s="22">
        <v>3</v>
      </c>
    </row>
    <row r="1562" spans="1:1">
      <c r="A1562" s="22" t="s">
        <v>1155</v>
      </c>
    </row>
    <row r="1564" spans="1:1">
      <c r="A1564" s="22" t="s">
        <v>544</v>
      </c>
    </row>
    <row r="1566" spans="1:1">
      <c r="A1566" s="19" t="s">
        <v>423</v>
      </c>
    </row>
    <row r="1568" spans="1:1">
      <c r="A1568" s="19" t="s">
        <v>424</v>
      </c>
    </row>
    <row r="1570" spans="1:1">
      <c r="A1570" s="22" t="s">
        <v>407</v>
      </c>
    </row>
    <row r="1572" spans="1:1">
      <c r="A1572" s="22">
        <v>3</v>
      </c>
    </row>
    <row r="1574" spans="1:1">
      <c r="A1574" s="19" t="s">
        <v>604</v>
      </c>
    </row>
    <row r="1576" spans="1:1">
      <c r="A1576" s="22" t="s">
        <v>133</v>
      </c>
    </row>
    <row r="1577" spans="1:1">
      <c r="A1577" s="22" t="s">
        <v>131</v>
      </c>
    </row>
    <row r="1578" spans="1:1">
      <c r="A1578" s="22" t="s">
        <v>389</v>
      </c>
    </row>
    <row r="1580" spans="1:1">
      <c r="A1580" s="19" t="s">
        <v>400</v>
      </c>
    </row>
    <row r="1582" spans="1:1">
      <c r="A1582" s="19" t="s">
        <v>1019</v>
      </c>
    </row>
    <row r="1584" spans="1:1">
      <c r="A1584" s="22" t="s">
        <v>1028</v>
      </c>
    </row>
    <row r="1586" spans="1:1">
      <c r="A1586" s="22" t="s">
        <v>1156</v>
      </c>
    </row>
    <row r="1588" spans="1:1">
      <c r="A1588" s="22" t="s">
        <v>643</v>
      </c>
    </row>
    <row r="1590" spans="1:1">
      <c r="A1590" s="19" t="s">
        <v>406</v>
      </c>
    </row>
    <row r="1592" spans="1:1">
      <c r="A1592" s="22" t="s">
        <v>407</v>
      </c>
    </row>
    <row r="1594" spans="1:1">
      <c r="A1594" s="22">
        <v>3</v>
      </c>
    </row>
    <row r="1596" spans="1:1">
      <c r="A1596" s="22" t="s">
        <v>1157</v>
      </c>
    </row>
    <row r="1598" spans="1:1">
      <c r="A1598" s="22" t="s">
        <v>770</v>
      </c>
    </row>
    <row r="1600" spans="1:1">
      <c r="A1600" s="19" t="s">
        <v>423</v>
      </c>
    </row>
    <row r="1602" spans="1:1">
      <c r="A1602" s="19" t="s">
        <v>424</v>
      </c>
    </row>
    <row r="1604" spans="1:1">
      <c r="A1604" s="22" t="s">
        <v>407</v>
      </c>
    </row>
    <row r="1606" spans="1:1">
      <c r="A1606" s="22">
        <v>2</v>
      </c>
    </row>
    <row r="1608" spans="1:1">
      <c r="A1608" s="22" t="s">
        <v>1158</v>
      </c>
    </row>
    <row r="1610" spans="1:1">
      <c r="A1610" s="22" t="s">
        <v>550</v>
      </c>
    </row>
    <row r="1612" spans="1:1">
      <c r="A1612" s="19" t="s">
        <v>423</v>
      </c>
    </row>
    <row r="1614" spans="1:1">
      <c r="A1614" s="19" t="s">
        <v>424</v>
      </c>
    </row>
    <row r="1616" spans="1:1">
      <c r="A1616" s="22" t="s">
        <v>407</v>
      </c>
    </row>
    <row r="1618" spans="1:1">
      <c r="A1618" s="22">
        <v>2</v>
      </c>
    </row>
    <row r="1620" spans="1:1">
      <c r="A1620" s="22" t="s">
        <v>1159</v>
      </c>
    </row>
    <row r="1622" spans="1:1">
      <c r="A1622" s="22" t="s">
        <v>947</v>
      </c>
    </row>
    <row r="1624" spans="1:1">
      <c r="A1624" s="19" t="s">
        <v>423</v>
      </c>
    </row>
    <row r="1626" spans="1:1">
      <c r="A1626" s="19" t="s">
        <v>424</v>
      </c>
    </row>
    <row r="1628" spans="1:1">
      <c r="A1628" s="22" t="s">
        <v>407</v>
      </c>
    </row>
    <row r="1630" spans="1:1">
      <c r="A1630" s="22">
        <v>2</v>
      </c>
    </row>
    <row r="1632" spans="1:1">
      <c r="A1632" s="22" t="s">
        <v>1160</v>
      </c>
    </row>
    <row r="1634" spans="1:1">
      <c r="A1634" s="22" t="s">
        <v>552</v>
      </c>
    </row>
    <row r="1636" spans="1:1">
      <c r="A1636" s="19" t="s">
        <v>423</v>
      </c>
    </row>
    <row r="1638" spans="1:1">
      <c r="A1638" s="19" t="s">
        <v>424</v>
      </c>
    </row>
    <row r="1640" spans="1:1">
      <c r="A1640" s="22" t="s">
        <v>407</v>
      </c>
    </row>
    <row r="1642" spans="1:1">
      <c r="A1642" s="22">
        <v>3</v>
      </c>
    </row>
    <row r="1644" spans="1:1">
      <c r="A1644" s="22" t="s">
        <v>1161</v>
      </c>
    </row>
    <row r="1646" spans="1:1">
      <c r="A1646" s="22" t="s">
        <v>747</v>
      </c>
    </row>
    <row r="1648" spans="1:1">
      <c r="A1648" s="19" t="s">
        <v>423</v>
      </c>
    </row>
    <row r="1650" spans="1:1">
      <c r="A1650" s="19" t="s">
        <v>424</v>
      </c>
    </row>
    <row r="1652" spans="1:1">
      <c r="A1652" s="22" t="s">
        <v>407</v>
      </c>
    </row>
    <row r="1654" spans="1:1">
      <c r="A1654" s="22">
        <v>3</v>
      </c>
    </row>
    <row r="1656" spans="1:1">
      <c r="A1656" s="22" t="s">
        <v>1162</v>
      </c>
    </row>
    <row r="1658" spans="1:1">
      <c r="A1658" s="22" t="s">
        <v>405</v>
      </c>
    </row>
    <row r="1660" spans="1:1">
      <c r="A1660" s="19" t="s">
        <v>423</v>
      </c>
    </row>
    <row r="1662" spans="1:1">
      <c r="A1662" s="19" t="s">
        <v>424</v>
      </c>
    </row>
    <row r="1664" spans="1:1">
      <c r="A1664" s="22" t="s">
        <v>407</v>
      </c>
    </row>
    <row r="1666" spans="1:1">
      <c r="A1666" s="22">
        <v>2</v>
      </c>
    </row>
    <row r="1668" spans="1:1">
      <c r="A1668" s="22" t="s">
        <v>1163</v>
      </c>
    </row>
    <row r="1670" spans="1:1">
      <c r="A1670" s="22" t="s">
        <v>517</v>
      </c>
    </row>
    <row r="1672" spans="1:1">
      <c r="A1672" s="19" t="s">
        <v>423</v>
      </c>
    </row>
    <row r="1674" spans="1:1">
      <c r="A1674" s="19" t="s">
        <v>424</v>
      </c>
    </row>
    <row r="1676" spans="1:1">
      <c r="A1676" s="22" t="s">
        <v>407</v>
      </c>
    </row>
    <row r="1678" spans="1:1">
      <c r="A1678" s="22">
        <v>2</v>
      </c>
    </row>
    <row r="1680" spans="1:1">
      <c r="A1680" s="19" t="s">
        <v>615</v>
      </c>
    </row>
    <row r="1682" spans="1:1">
      <c r="A1682" s="22" t="s">
        <v>133</v>
      </c>
    </row>
    <row r="1683" spans="1:1">
      <c r="A1683" s="22" t="s">
        <v>131</v>
      </c>
    </row>
    <row r="1684" spans="1:1">
      <c r="A1684" s="22" t="s">
        <v>389</v>
      </c>
    </row>
    <row r="1686" spans="1:1">
      <c r="A1686" s="19" t="s">
        <v>400</v>
      </c>
    </row>
    <row r="1688" spans="1:1">
      <c r="A1688" s="19" t="s">
        <v>1019</v>
      </c>
    </row>
    <row r="1690" spans="1:1">
      <c r="A1690" s="22" t="s">
        <v>1028</v>
      </c>
    </row>
    <row r="1692" spans="1:1">
      <c r="A1692" s="22" t="s">
        <v>1164</v>
      </c>
    </row>
    <row r="1694" spans="1:1">
      <c r="A1694" s="22" t="s">
        <v>413</v>
      </c>
    </row>
    <row r="1696" spans="1:1">
      <c r="A1696" s="19" t="s">
        <v>406</v>
      </c>
    </row>
    <row r="1698" spans="1:1">
      <c r="A1698" s="22" t="s">
        <v>407</v>
      </c>
    </row>
    <row r="1700" spans="1:1">
      <c r="A1700" s="22">
        <v>3</v>
      </c>
    </row>
    <row r="1702" spans="1:1">
      <c r="A1702" s="22" t="s">
        <v>1165</v>
      </c>
    </row>
    <row r="1704" spans="1:1">
      <c r="A1704" s="22" t="s">
        <v>550</v>
      </c>
    </row>
    <row r="1706" spans="1:1">
      <c r="A1706" s="19" t="s">
        <v>423</v>
      </c>
    </row>
    <row r="1708" spans="1:1">
      <c r="A1708" s="19" t="s">
        <v>424</v>
      </c>
    </row>
    <row r="1710" spans="1:1">
      <c r="A1710" s="22" t="s">
        <v>407</v>
      </c>
    </row>
    <row r="1712" spans="1:1">
      <c r="A1712" s="22">
        <v>2</v>
      </c>
    </row>
    <row r="1714" spans="1:1">
      <c r="A1714" s="22" t="s">
        <v>1166</v>
      </c>
    </row>
    <row r="1716" spans="1:1">
      <c r="A1716" s="22" t="s">
        <v>418</v>
      </c>
    </row>
    <row r="1718" spans="1:1">
      <c r="A1718" s="19" t="s">
        <v>423</v>
      </c>
    </row>
    <row r="1720" spans="1:1">
      <c r="A1720" s="19" t="s">
        <v>424</v>
      </c>
    </row>
    <row r="1722" spans="1:1">
      <c r="A1722" s="22" t="s">
        <v>407</v>
      </c>
    </row>
    <row r="1724" spans="1:1">
      <c r="A1724" s="22">
        <v>3</v>
      </c>
    </row>
    <row r="1726" spans="1:1">
      <c r="A1726" s="22" t="s">
        <v>1167</v>
      </c>
    </row>
    <row r="1728" spans="1:1">
      <c r="A1728" s="22" t="s">
        <v>428</v>
      </c>
    </row>
    <row r="1730" spans="1:1">
      <c r="A1730" s="19" t="s">
        <v>423</v>
      </c>
    </row>
    <row r="1732" spans="1:1">
      <c r="A1732" s="19" t="s">
        <v>424</v>
      </c>
    </row>
    <row r="1734" spans="1:1">
      <c r="A1734" s="22" t="s">
        <v>407</v>
      </c>
    </row>
    <row r="1736" spans="1:1">
      <c r="A1736" s="22">
        <v>1</v>
      </c>
    </row>
    <row r="1738" spans="1:1">
      <c r="A1738" s="22" t="s">
        <v>1168</v>
      </c>
    </row>
    <row r="1740" spans="1:1">
      <c r="A1740" s="22" t="s">
        <v>418</v>
      </c>
    </row>
    <row r="1742" spans="1:1">
      <c r="A1742" s="19" t="s">
        <v>423</v>
      </c>
    </row>
    <row r="1744" spans="1:1">
      <c r="A1744" s="19" t="s">
        <v>424</v>
      </c>
    </row>
    <row r="1746" spans="1:1">
      <c r="A1746" s="22" t="s">
        <v>407</v>
      </c>
    </row>
    <row r="1748" spans="1:1">
      <c r="A1748" s="22">
        <v>1</v>
      </c>
    </row>
    <row r="1750" spans="1:1">
      <c r="A1750" s="22" t="s">
        <v>1169</v>
      </c>
    </row>
    <row r="1752" spans="1:1">
      <c r="A1752" s="22" t="s">
        <v>428</v>
      </c>
    </row>
    <row r="1754" spans="1:1">
      <c r="A1754" s="19" t="s">
        <v>423</v>
      </c>
    </row>
    <row r="1756" spans="1:1">
      <c r="A1756" s="19" t="s">
        <v>424</v>
      </c>
    </row>
    <row r="1758" spans="1:1">
      <c r="A1758" s="22" t="s">
        <v>407</v>
      </c>
    </row>
    <row r="1760" spans="1:1">
      <c r="A1760" s="22">
        <v>1</v>
      </c>
    </row>
    <row r="1762" spans="1:1">
      <c r="A1762" s="22" t="s">
        <v>1170</v>
      </c>
    </row>
    <row r="1764" spans="1:1">
      <c r="A1764" s="22" t="s">
        <v>438</v>
      </c>
    </row>
    <row r="1766" spans="1:1">
      <c r="A1766" s="19" t="s">
        <v>423</v>
      </c>
    </row>
    <row r="1768" spans="1:1">
      <c r="A1768" s="19" t="s">
        <v>424</v>
      </c>
    </row>
    <row r="1770" spans="1:1">
      <c r="A1770" s="22" t="s">
        <v>407</v>
      </c>
    </row>
    <row r="1772" spans="1:1">
      <c r="A1772" s="22">
        <v>2</v>
      </c>
    </row>
    <row r="1774" spans="1:1">
      <c r="A1774" s="22" t="s">
        <v>1171</v>
      </c>
    </row>
    <row r="1776" spans="1:1">
      <c r="A1776" s="22" t="s">
        <v>601</v>
      </c>
    </row>
    <row r="1778" spans="1:1">
      <c r="A1778" s="19" t="s">
        <v>423</v>
      </c>
    </row>
    <row r="1780" spans="1:1">
      <c r="A1780" s="19" t="s">
        <v>424</v>
      </c>
    </row>
    <row r="1782" spans="1:1">
      <c r="A1782" s="22" t="s">
        <v>407</v>
      </c>
    </row>
    <row r="1784" spans="1:1">
      <c r="A1784" s="22">
        <v>2</v>
      </c>
    </row>
    <row r="1786" spans="1:1">
      <c r="A1786" s="19" t="s">
        <v>627</v>
      </c>
    </row>
    <row r="1788" spans="1:1">
      <c r="A1788" s="22" t="s">
        <v>133</v>
      </c>
    </row>
    <row r="1789" spans="1:1">
      <c r="A1789" s="22" t="s">
        <v>131</v>
      </c>
    </row>
    <row r="1790" spans="1:1">
      <c r="A1790" s="22" t="s">
        <v>389</v>
      </c>
    </row>
    <row r="1792" spans="1:1">
      <c r="A1792" s="19" t="s">
        <v>400</v>
      </c>
    </row>
    <row r="1794" spans="1:1">
      <c r="A1794" s="19" t="s">
        <v>1019</v>
      </c>
    </row>
    <row r="1796" spans="1:1">
      <c r="A1796" s="22" t="s">
        <v>1028</v>
      </c>
    </row>
    <row r="1798" spans="1:1">
      <c r="A1798" s="22" t="s">
        <v>1172</v>
      </c>
    </row>
    <row r="1800" spans="1:1">
      <c r="A1800" s="22" t="s">
        <v>428</v>
      </c>
    </row>
    <row r="1802" spans="1:1">
      <c r="A1802" s="19" t="s">
        <v>406</v>
      </c>
    </row>
    <row r="1804" spans="1:1">
      <c r="A1804" s="22" t="s">
        <v>407</v>
      </c>
    </row>
    <row r="1806" spans="1:1">
      <c r="A1806" s="22">
        <v>1</v>
      </c>
    </row>
    <row r="1808" spans="1:1">
      <c r="A1808" s="22" t="s">
        <v>1173</v>
      </c>
    </row>
    <row r="1810" spans="1:1">
      <c r="A1810" s="22" t="s">
        <v>418</v>
      </c>
    </row>
    <row r="1812" spans="1:1">
      <c r="A1812" s="19" t="s">
        <v>423</v>
      </c>
    </row>
    <row r="1814" spans="1:1">
      <c r="A1814" s="19" t="s">
        <v>424</v>
      </c>
    </row>
    <row r="1816" spans="1:1">
      <c r="A1816" s="22" t="s">
        <v>407</v>
      </c>
    </row>
    <row r="1818" spans="1:1">
      <c r="A1818" s="22">
        <v>3</v>
      </c>
    </row>
    <row r="1820" spans="1:1">
      <c r="A1820" s="22" t="s">
        <v>1174</v>
      </c>
    </row>
    <row r="1822" spans="1:1">
      <c r="A1822" s="22" t="s">
        <v>422</v>
      </c>
    </row>
    <row r="1824" spans="1:1">
      <c r="A1824" s="19" t="s">
        <v>423</v>
      </c>
    </row>
    <row r="1826" spans="1:1">
      <c r="A1826" s="19" t="s">
        <v>424</v>
      </c>
    </row>
    <row r="1828" spans="1:1">
      <c r="A1828" s="22" t="s">
        <v>407</v>
      </c>
    </row>
    <row r="1830" spans="1:1">
      <c r="A1830" s="22">
        <v>2</v>
      </c>
    </row>
    <row r="1832" spans="1:1">
      <c r="A1832" s="22" t="s">
        <v>1175</v>
      </c>
    </row>
    <row r="1834" spans="1:1">
      <c r="A1834" s="22" t="s">
        <v>430</v>
      </c>
    </row>
    <row r="1836" spans="1:1">
      <c r="A1836" s="19" t="s">
        <v>423</v>
      </c>
    </row>
    <row r="1838" spans="1:1">
      <c r="A1838" s="19" t="s">
        <v>424</v>
      </c>
    </row>
    <row r="1840" spans="1:1">
      <c r="A1840" s="22" t="s">
        <v>407</v>
      </c>
    </row>
    <row r="1842" spans="1:1">
      <c r="A1842" s="22">
        <v>2</v>
      </c>
    </row>
    <row r="1844" spans="1:1">
      <c r="A1844" s="22" t="s">
        <v>1176</v>
      </c>
    </row>
    <row r="1846" spans="1:1">
      <c r="A1846" s="22" t="s">
        <v>1092</v>
      </c>
    </row>
    <row r="1848" spans="1:1">
      <c r="A1848" s="19" t="s">
        <v>423</v>
      </c>
    </row>
    <row r="1850" spans="1:1">
      <c r="A1850" s="19" t="s">
        <v>424</v>
      </c>
    </row>
    <row r="1852" spans="1:1">
      <c r="A1852" s="22" t="s">
        <v>407</v>
      </c>
    </row>
    <row r="1854" spans="1:1">
      <c r="A1854" s="22">
        <v>2</v>
      </c>
    </row>
    <row r="1856" spans="1:1">
      <c r="A1856" s="22" t="s">
        <v>1177</v>
      </c>
    </row>
    <row r="1858" spans="1:1">
      <c r="A1858" s="22" t="s">
        <v>1092</v>
      </c>
    </row>
    <row r="1860" spans="1:1">
      <c r="A1860" s="19" t="s">
        <v>423</v>
      </c>
    </row>
    <row r="1862" spans="1:1">
      <c r="A1862" s="19" t="s">
        <v>424</v>
      </c>
    </row>
    <row r="1864" spans="1:1">
      <c r="A1864" s="22" t="s">
        <v>407</v>
      </c>
    </row>
    <row r="1866" spans="1:1">
      <c r="A1866" s="22">
        <v>2</v>
      </c>
    </row>
    <row r="1868" spans="1:1">
      <c r="A1868" s="22" t="s">
        <v>1178</v>
      </c>
    </row>
    <row r="1870" spans="1:1">
      <c r="A1870" s="22" t="s">
        <v>432</v>
      </c>
    </row>
    <row r="1872" spans="1:1">
      <c r="A1872" s="19" t="s">
        <v>423</v>
      </c>
    </row>
    <row r="1874" spans="1:1">
      <c r="A1874" s="19" t="s">
        <v>424</v>
      </c>
    </row>
    <row r="1876" spans="1:1">
      <c r="A1876" s="22" t="s">
        <v>407</v>
      </c>
    </row>
    <row r="1878" spans="1:1">
      <c r="A1878" s="22">
        <v>3</v>
      </c>
    </row>
    <row r="1880" spans="1:1">
      <c r="A1880" s="22" t="s">
        <v>1179</v>
      </c>
    </row>
    <row r="1882" spans="1:1">
      <c r="A1882" s="22" t="s">
        <v>507</v>
      </c>
    </row>
    <row r="1884" spans="1:1">
      <c r="A1884" s="19" t="s">
        <v>423</v>
      </c>
    </row>
    <row r="1886" spans="1:1">
      <c r="A1886" s="19" t="s">
        <v>424</v>
      </c>
    </row>
    <row r="1888" spans="1:1">
      <c r="A1888" s="22" t="s">
        <v>407</v>
      </c>
    </row>
    <row r="1890" spans="1:1">
      <c r="A1890" s="22">
        <v>6</v>
      </c>
    </row>
    <row r="1892" spans="1:1">
      <c r="A1892" s="19" t="s">
        <v>638</v>
      </c>
    </row>
    <row r="1894" spans="1:1">
      <c r="A1894" s="22" t="s">
        <v>133</v>
      </c>
    </row>
    <row r="1895" spans="1:1">
      <c r="A1895" s="22" t="s">
        <v>131</v>
      </c>
    </row>
    <row r="1896" spans="1:1">
      <c r="A1896" s="22" t="s">
        <v>389</v>
      </c>
    </row>
    <row r="1898" spans="1:1">
      <c r="A1898" s="19" t="s">
        <v>400</v>
      </c>
    </row>
    <row r="1900" spans="1:1">
      <c r="A1900" s="19" t="s">
        <v>1019</v>
      </c>
    </row>
    <row r="1902" spans="1:1">
      <c r="A1902" s="22" t="s">
        <v>1028</v>
      </c>
    </row>
    <row r="1904" spans="1:1">
      <c r="A1904" s="22" t="s">
        <v>1180</v>
      </c>
    </row>
    <row r="1906" spans="1:1">
      <c r="A1906" s="22" t="s">
        <v>430</v>
      </c>
    </row>
    <row r="1908" spans="1:1">
      <c r="A1908" s="19" t="s">
        <v>406</v>
      </c>
    </row>
    <row r="1910" spans="1:1">
      <c r="A1910" s="22" t="s">
        <v>407</v>
      </c>
    </row>
    <row r="1912" spans="1:1">
      <c r="A1912" s="22">
        <v>1</v>
      </c>
    </row>
    <row r="1914" spans="1:1">
      <c r="A1914" s="22" t="s">
        <v>1181</v>
      </c>
    </row>
    <row r="1916" spans="1:1">
      <c r="A1916" s="22" t="s">
        <v>438</v>
      </c>
    </row>
    <row r="1918" spans="1:1">
      <c r="A1918" s="19" t="s">
        <v>423</v>
      </c>
    </row>
    <row r="1920" spans="1:1">
      <c r="A1920" s="19" t="s">
        <v>424</v>
      </c>
    </row>
    <row r="1922" spans="1:1">
      <c r="A1922" s="22" t="s">
        <v>407</v>
      </c>
    </row>
    <row r="1924" spans="1:1">
      <c r="A1924" s="22">
        <v>2</v>
      </c>
    </row>
    <row r="1926" spans="1:1">
      <c r="A1926" s="22" t="s">
        <v>1182</v>
      </c>
    </row>
    <row r="1928" spans="1:1">
      <c r="A1928" s="22" t="s">
        <v>441</v>
      </c>
    </row>
    <row r="1930" spans="1:1">
      <c r="A1930" s="19" t="s">
        <v>423</v>
      </c>
    </row>
    <row r="1932" spans="1:1">
      <c r="A1932" s="19" t="s">
        <v>424</v>
      </c>
    </row>
    <row r="1934" spans="1:1">
      <c r="A1934" s="22" t="s">
        <v>407</v>
      </c>
    </row>
    <row r="1936" spans="1:1">
      <c r="A1936" s="22">
        <v>2</v>
      </c>
    </row>
    <row r="1938" spans="1:1">
      <c r="A1938" s="22" t="s">
        <v>1183</v>
      </c>
    </row>
    <row r="1940" spans="1:1">
      <c r="A1940" s="22" t="s">
        <v>489</v>
      </c>
    </row>
    <row r="1942" spans="1:1">
      <c r="A1942" s="19" t="s">
        <v>423</v>
      </c>
    </row>
    <row r="1944" spans="1:1">
      <c r="A1944" s="19" t="s">
        <v>424</v>
      </c>
    </row>
    <row r="1946" spans="1:1">
      <c r="A1946" s="22" t="s">
        <v>407</v>
      </c>
    </row>
    <row r="1948" spans="1:1">
      <c r="A1948" s="22">
        <v>2</v>
      </c>
    </row>
    <row r="1950" spans="1:1">
      <c r="A1950" s="22" t="s">
        <v>1184</v>
      </c>
    </row>
    <row r="1952" spans="1:1">
      <c r="A1952" s="22" t="s">
        <v>701</v>
      </c>
    </row>
    <row r="1954" spans="1:1">
      <c r="A1954" s="19" t="s">
        <v>423</v>
      </c>
    </row>
    <row r="1956" spans="1:1">
      <c r="A1956" s="19" t="s">
        <v>424</v>
      </c>
    </row>
    <row r="1958" spans="1:1">
      <c r="A1958" s="22" t="s">
        <v>407</v>
      </c>
    </row>
    <row r="1960" spans="1:1">
      <c r="A1960" s="22">
        <v>2</v>
      </c>
    </row>
    <row r="1962" spans="1:1">
      <c r="A1962" s="22" t="s">
        <v>1185</v>
      </c>
    </row>
    <row r="1964" spans="1:1">
      <c r="A1964" s="22" t="s">
        <v>432</v>
      </c>
    </row>
    <row r="1966" spans="1:1">
      <c r="A1966" s="19" t="s">
        <v>423</v>
      </c>
    </row>
    <row r="1968" spans="1:1">
      <c r="A1968" s="19" t="s">
        <v>424</v>
      </c>
    </row>
    <row r="1970" spans="1:1">
      <c r="A1970" s="22" t="s">
        <v>407</v>
      </c>
    </row>
    <row r="1972" spans="1:1">
      <c r="A1972" s="22">
        <v>3</v>
      </c>
    </row>
    <row r="1974" spans="1:1">
      <c r="A1974" s="22" t="s">
        <v>1186</v>
      </c>
    </row>
    <row r="1976" spans="1:1">
      <c r="A1976" s="22" t="s">
        <v>733</v>
      </c>
    </row>
    <row r="1978" spans="1:1">
      <c r="A1978" s="19" t="s">
        <v>423</v>
      </c>
    </row>
    <row r="1980" spans="1:1">
      <c r="A1980" s="19" t="s">
        <v>424</v>
      </c>
    </row>
    <row r="1982" spans="1:1">
      <c r="A1982" s="22" t="s">
        <v>407</v>
      </c>
    </row>
    <row r="1984" spans="1:1">
      <c r="A1984" s="22">
        <v>2</v>
      </c>
    </row>
    <row r="1986" spans="1:1">
      <c r="A1986" s="22" t="s">
        <v>1187</v>
      </c>
    </row>
    <row r="1988" spans="1:1">
      <c r="A1988" s="22" t="s">
        <v>707</v>
      </c>
    </row>
    <row r="1990" spans="1:1">
      <c r="A1990" s="19" t="s">
        <v>423</v>
      </c>
    </row>
    <row r="1992" spans="1:1">
      <c r="A1992" s="19" t="s">
        <v>424</v>
      </c>
    </row>
    <row r="1994" spans="1:1">
      <c r="A1994" s="22" t="s">
        <v>407</v>
      </c>
    </row>
    <row r="1996" spans="1:1">
      <c r="A1996" s="22">
        <v>3</v>
      </c>
    </row>
    <row r="1998" spans="1:1">
      <c r="A1998" s="19" t="s">
        <v>653</v>
      </c>
    </row>
    <row r="2000" spans="1:1">
      <c r="A2000" s="22" t="s">
        <v>133</v>
      </c>
    </row>
    <row r="2001" spans="1:1">
      <c r="A2001" s="22" t="s">
        <v>131</v>
      </c>
    </row>
    <row r="2002" spans="1:1">
      <c r="A2002" s="22" t="s">
        <v>389</v>
      </c>
    </row>
    <row r="2004" spans="1:1">
      <c r="A2004" s="19" t="s">
        <v>400</v>
      </c>
    </row>
    <row r="2006" spans="1:1">
      <c r="A2006" s="19" t="s">
        <v>1019</v>
      </c>
    </row>
    <row r="2008" spans="1:1">
      <c r="A2008" s="22" t="s">
        <v>1028</v>
      </c>
    </row>
    <row r="2010" spans="1:1">
      <c r="A2010" s="22" t="s">
        <v>1188</v>
      </c>
    </row>
    <row r="2012" spans="1:1">
      <c r="A2012" s="22" t="s">
        <v>446</v>
      </c>
    </row>
    <row r="2014" spans="1:1">
      <c r="A2014" s="19" t="s">
        <v>406</v>
      </c>
    </row>
    <row r="2016" spans="1:1">
      <c r="A2016" s="22" t="s">
        <v>407</v>
      </c>
    </row>
    <row r="2018" spans="1:1">
      <c r="A2018" s="22">
        <v>2</v>
      </c>
    </row>
    <row r="2020" spans="1:1">
      <c r="A2020" s="22" t="s">
        <v>1189</v>
      </c>
    </row>
    <row r="2022" spans="1:1">
      <c r="A2022" s="22" t="s">
        <v>446</v>
      </c>
    </row>
    <row r="2024" spans="1:1">
      <c r="A2024" s="19" t="s">
        <v>423</v>
      </c>
    </row>
    <row r="2026" spans="1:1">
      <c r="A2026" s="19" t="s">
        <v>424</v>
      </c>
    </row>
    <row r="2028" spans="1:1">
      <c r="A2028" s="22" t="s">
        <v>407</v>
      </c>
    </row>
    <row r="2030" spans="1:1">
      <c r="A2030" s="22">
        <v>2</v>
      </c>
    </row>
    <row r="2032" spans="1:1">
      <c r="A2032" s="22" t="s">
        <v>1190</v>
      </c>
    </row>
    <row r="2034" spans="1:1">
      <c r="A2034" s="22" t="s">
        <v>595</v>
      </c>
    </row>
    <row r="2036" spans="1:1">
      <c r="A2036" s="19" t="s">
        <v>423</v>
      </c>
    </row>
    <row r="2038" spans="1:1">
      <c r="A2038" s="19" t="s">
        <v>424</v>
      </c>
    </row>
    <row r="2040" spans="1:1">
      <c r="A2040" s="22" t="s">
        <v>407</v>
      </c>
    </row>
    <row r="2042" spans="1:1">
      <c r="A2042" s="22">
        <v>6</v>
      </c>
    </row>
    <row r="2044" spans="1:1">
      <c r="A2044" s="22" t="s">
        <v>1191</v>
      </c>
    </row>
    <row r="2046" spans="1:1">
      <c r="A2046" s="22" t="s">
        <v>1079</v>
      </c>
    </row>
    <row r="2048" spans="1:1">
      <c r="A2048" s="19" t="s">
        <v>423</v>
      </c>
    </row>
    <row r="2050" spans="1:1">
      <c r="A2050" s="19" t="s">
        <v>424</v>
      </c>
    </row>
    <row r="2052" spans="1:1">
      <c r="A2052" s="22" t="s">
        <v>407</v>
      </c>
    </row>
    <row r="2054" spans="1:1">
      <c r="A2054" s="22">
        <v>2</v>
      </c>
    </row>
    <row r="2056" spans="1:1">
      <c r="A2056" s="22" t="s">
        <v>1192</v>
      </c>
    </row>
    <row r="2058" spans="1:1">
      <c r="A2058" s="22" t="s">
        <v>464</v>
      </c>
    </row>
    <row r="2060" spans="1:1">
      <c r="A2060" s="19" t="s">
        <v>423</v>
      </c>
    </row>
    <row r="2062" spans="1:1">
      <c r="A2062" s="19" t="s">
        <v>424</v>
      </c>
    </row>
    <row r="2064" spans="1:1">
      <c r="A2064" s="22" t="s">
        <v>407</v>
      </c>
    </row>
    <row r="2066" spans="1:1">
      <c r="A2066" s="22">
        <v>2</v>
      </c>
    </row>
    <row r="2068" spans="1:1">
      <c r="A2068" s="22" t="s">
        <v>1193</v>
      </c>
    </row>
    <row r="2070" spans="1:1">
      <c r="A2070" s="22" t="s">
        <v>1194</v>
      </c>
    </row>
    <row r="2072" spans="1:1">
      <c r="A2072" s="19" t="s">
        <v>423</v>
      </c>
    </row>
    <row r="2074" spans="1:1">
      <c r="A2074" s="19" t="s">
        <v>424</v>
      </c>
    </row>
    <row r="2076" spans="1:1">
      <c r="A2076" s="22" t="s">
        <v>407</v>
      </c>
    </row>
    <row r="2078" spans="1:1">
      <c r="A2078" s="22">
        <v>4</v>
      </c>
    </row>
    <row r="2080" spans="1:1">
      <c r="A2080" s="22" t="s">
        <v>1195</v>
      </c>
    </row>
    <row r="2082" spans="1:1">
      <c r="A2082" s="22" t="s">
        <v>720</v>
      </c>
    </row>
    <row r="2084" spans="1:1">
      <c r="A2084" s="19" t="s">
        <v>423</v>
      </c>
    </row>
    <row r="2086" spans="1:1">
      <c r="A2086" s="19" t="s">
        <v>424</v>
      </c>
    </row>
    <row r="2088" spans="1:1">
      <c r="A2088" s="22" t="s">
        <v>407</v>
      </c>
    </row>
    <row r="2090" spans="1:1">
      <c r="A2090" s="22">
        <v>2</v>
      </c>
    </row>
    <row r="2092" spans="1:1">
      <c r="A2092" s="22" t="s">
        <v>1196</v>
      </c>
    </row>
    <row r="2094" spans="1:1">
      <c r="A2094" s="22" t="s">
        <v>665</v>
      </c>
    </row>
    <row r="2096" spans="1:1">
      <c r="A2096" s="19" t="s">
        <v>423</v>
      </c>
    </row>
    <row r="2098" spans="1:1">
      <c r="A2098" s="19" t="s">
        <v>424</v>
      </c>
    </row>
    <row r="2100" spans="1:1">
      <c r="A2100" s="22" t="s">
        <v>407</v>
      </c>
    </row>
    <row r="2102" spans="1:1">
      <c r="A2102" s="22">
        <v>3</v>
      </c>
    </row>
    <row r="2104" spans="1:1">
      <c r="A2104" s="19" t="s">
        <v>663</v>
      </c>
    </row>
    <row r="2106" spans="1:1">
      <c r="A2106" s="22" t="s">
        <v>133</v>
      </c>
    </row>
    <row r="2107" spans="1:1">
      <c r="A2107" s="22" t="s">
        <v>131</v>
      </c>
    </row>
    <row r="2108" spans="1:1">
      <c r="A2108" s="22" t="s">
        <v>389</v>
      </c>
    </row>
    <row r="2110" spans="1:1">
      <c r="A2110" s="19" t="s">
        <v>400</v>
      </c>
    </row>
    <row r="2112" spans="1:1">
      <c r="A2112" s="19" t="s">
        <v>1019</v>
      </c>
    </row>
    <row r="2114" spans="1:1">
      <c r="A2114" s="22" t="s">
        <v>1028</v>
      </c>
    </row>
    <row r="2116" spans="1:1">
      <c r="A2116" s="22" t="s">
        <v>1197</v>
      </c>
    </row>
    <row r="2118" spans="1:1">
      <c r="A2118" s="22" t="s">
        <v>469</v>
      </c>
    </row>
    <row r="2120" spans="1:1">
      <c r="A2120" s="19" t="s">
        <v>406</v>
      </c>
    </row>
    <row r="2122" spans="1:1">
      <c r="A2122" s="22" t="s">
        <v>407</v>
      </c>
    </row>
    <row r="2124" spans="1:1">
      <c r="A2124" s="22">
        <v>2</v>
      </c>
    </row>
    <row r="2126" spans="1:1">
      <c r="A2126" s="22" t="s">
        <v>1198</v>
      </c>
    </row>
    <row r="2128" spans="1:1">
      <c r="A2128" s="22" t="s">
        <v>630</v>
      </c>
    </row>
    <row r="2130" spans="1:1">
      <c r="A2130" s="19" t="s">
        <v>423</v>
      </c>
    </row>
    <row r="2132" spans="1:1">
      <c r="A2132" s="19" t="s">
        <v>424</v>
      </c>
    </row>
    <row r="2134" spans="1:1">
      <c r="A2134" s="22" t="s">
        <v>407</v>
      </c>
    </row>
    <row r="2136" spans="1:1">
      <c r="A2136" s="22">
        <v>2</v>
      </c>
    </row>
    <row r="2138" spans="1:1">
      <c r="A2138" s="22" t="s">
        <v>1199</v>
      </c>
    </row>
    <row r="2140" spans="1:1">
      <c r="A2140" s="22" t="s">
        <v>775</v>
      </c>
    </row>
    <row r="2142" spans="1:1">
      <c r="A2142" s="19" t="s">
        <v>423</v>
      </c>
    </row>
    <row r="2144" spans="1:1">
      <c r="A2144" s="19" t="s">
        <v>424</v>
      </c>
    </row>
    <row r="2146" spans="1:1">
      <c r="A2146" s="22" t="s">
        <v>407</v>
      </c>
    </row>
    <row r="2148" spans="1:1">
      <c r="A2148" s="22">
        <v>2</v>
      </c>
    </row>
    <row r="2150" spans="1:1">
      <c r="A2150" s="22" t="s">
        <v>1200</v>
      </c>
    </row>
    <row r="2152" spans="1:1">
      <c r="A2152" s="22" t="s">
        <v>881</v>
      </c>
    </row>
    <row r="2154" spans="1:1">
      <c r="A2154" s="19" t="s">
        <v>423</v>
      </c>
    </row>
    <row r="2156" spans="1:1">
      <c r="A2156" s="19" t="s">
        <v>424</v>
      </c>
    </row>
    <row r="2158" spans="1:1">
      <c r="A2158" s="22" t="s">
        <v>407</v>
      </c>
    </row>
    <row r="2160" spans="1:1">
      <c r="A2160" s="22">
        <v>4</v>
      </c>
    </row>
    <row r="2162" spans="1:1">
      <c r="A2162" s="22" t="s">
        <v>1201</v>
      </c>
    </row>
    <row r="2164" spans="1:1">
      <c r="A2164" s="22" t="s">
        <v>884</v>
      </c>
    </row>
    <row r="2166" spans="1:1">
      <c r="A2166" s="19" t="s">
        <v>423</v>
      </c>
    </row>
    <row r="2168" spans="1:1">
      <c r="A2168" s="19" t="s">
        <v>424</v>
      </c>
    </row>
    <row r="2170" spans="1:1">
      <c r="A2170" s="22" t="s">
        <v>407</v>
      </c>
    </row>
    <row r="2172" spans="1:1">
      <c r="A2172" s="22">
        <v>2</v>
      </c>
    </row>
    <row r="2174" spans="1:1">
      <c r="A2174" s="22" t="s">
        <v>1202</v>
      </c>
    </row>
    <row r="2176" spans="1:1">
      <c r="A2176" s="22" t="s">
        <v>436</v>
      </c>
    </row>
    <row r="2178" spans="1:1">
      <c r="A2178" s="19" t="s">
        <v>423</v>
      </c>
    </row>
    <row r="2180" spans="1:1">
      <c r="A2180" s="19" t="s">
        <v>424</v>
      </c>
    </row>
    <row r="2182" spans="1:1">
      <c r="A2182" s="22" t="s">
        <v>407</v>
      </c>
    </row>
    <row r="2184" spans="1:1">
      <c r="A2184" s="22">
        <v>3</v>
      </c>
    </row>
    <row r="2186" spans="1:1">
      <c r="A2186" s="22" t="s">
        <v>1203</v>
      </c>
    </row>
    <row r="2188" spans="1:1">
      <c r="A2188" s="22" t="s">
        <v>492</v>
      </c>
    </row>
    <row r="2190" spans="1:1">
      <c r="A2190" s="19" t="s">
        <v>423</v>
      </c>
    </row>
    <row r="2192" spans="1:1">
      <c r="A2192" s="19" t="s">
        <v>424</v>
      </c>
    </row>
    <row r="2194" spans="1:1">
      <c r="A2194" s="22" t="s">
        <v>407</v>
      </c>
    </row>
    <row r="2196" spans="1:1">
      <c r="A2196" s="22">
        <v>2</v>
      </c>
    </row>
    <row r="2198" spans="1:1">
      <c r="A2198" s="22" t="s">
        <v>1204</v>
      </c>
    </row>
    <row r="2200" spans="1:1">
      <c r="A2200" s="22" t="s">
        <v>510</v>
      </c>
    </row>
    <row r="2202" spans="1:1">
      <c r="A2202" s="19" t="s">
        <v>423</v>
      </c>
    </row>
    <row r="2204" spans="1:1">
      <c r="A2204" s="19" t="s">
        <v>424</v>
      </c>
    </row>
    <row r="2206" spans="1:1">
      <c r="A2206" s="22" t="s">
        <v>407</v>
      </c>
    </row>
    <row r="2208" spans="1:1">
      <c r="A2208" s="22">
        <v>2</v>
      </c>
    </row>
    <row r="2210" spans="1:1">
      <c r="A2210" s="19" t="s">
        <v>677</v>
      </c>
    </row>
    <row r="2212" spans="1:1">
      <c r="A2212" s="22" t="s">
        <v>133</v>
      </c>
    </row>
    <row r="2213" spans="1:1">
      <c r="A2213" s="22" t="s">
        <v>131</v>
      </c>
    </row>
    <row r="2214" spans="1:1">
      <c r="A2214" s="22" t="s">
        <v>389</v>
      </c>
    </row>
    <row r="2216" spans="1:1">
      <c r="A2216" s="19" t="s">
        <v>400</v>
      </c>
    </row>
    <row r="2218" spans="1:1">
      <c r="A2218" s="19" t="s">
        <v>1019</v>
      </c>
    </row>
    <row r="2220" spans="1:1">
      <c r="A2220" s="22" t="s">
        <v>1028</v>
      </c>
    </row>
    <row r="2222" spans="1:1">
      <c r="A2222" s="22" t="s">
        <v>1205</v>
      </c>
    </row>
    <row r="2224" spans="1:1">
      <c r="A2224" s="22" t="s">
        <v>448</v>
      </c>
    </row>
    <row r="2226" spans="1:1">
      <c r="A2226" s="19" t="s">
        <v>406</v>
      </c>
    </row>
    <row r="2228" spans="1:1">
      <c r="A2228" s="22" t="s">
        <v>407</v>
      </c>
    </row>
    <row r="2230" spans="1:1">
      <c r="A2230" s="22">
        <v>3</v>
      </c>
    </row>
    <row r="2232" spans="1:1">
      <c r="A2232" s="22" t="s">
        <v>1206</v>
      </c>
    </row>
    <row r="2234" spans="1:1">
      <c r="A2234" s="22" t="s">
        <v>460</v>
      </c>
    </row>
    <row r="2236" spans="1:1">
      <c r="A2236" s="19" t="s">
        <v>423</v>
      </c>
    </row>
    <row r="2238" spans="1:1">
      <c r="A2238" s="19" t="s">
        <v>424</v>
      </c>
    </row>
    <row r="2240" spans="1:1">
      <c r="A2240" s="22" t="s">
        <v>407</v>
      </c>
    </row>
    <row r="2242" spans="1:1">
      <c r="A2242" s="22">
        <v>8</v>
      </c>
    </row>
    <row r="2244" spans="1:1">
      <c r="A2244" s="22" t="s">
        <v>1207</v>
      </c>
    </row>
    <row r="2246" spans="1:1">
      <c r="A2246" s="22" t="s">
        <v>510</v>
      </c>
    </row>
    <row r="2248" spans="1:1">
      <c r="A2248" s="19" t="s">
        <v>423</v>
      </c>
    </row>
    <row r="2250" spans="1:1">
      <c r="A2250" s="19" t="s">
        <v>424</v>
      </c>
    </row>
    <row r="2252" spans="1:1">
      <c r="A2252" s="22" t="s">
        <v>407</v>
      </c>
    </row>
    <row r="2254" spans="1:1">
      <c r="A2254" s="22">
        <v>2</v>
      </c>
    </row>
    <row r="2256" spans="1:1">
      <c r="A2256" s="22" t="s">
        <v>1208</v>
      </c>
    </row>
    <row r="2258" spans="1:1">
      <c r="A2258" s="22" t="s">
        <v>481</v>
      </c>
    </row>
    <row r="2260" spans="1:1">
      <c r="A2260" s="19" t="s">
        <v>423</v>
      </c>
    </row>
    <row r="2262" spans="1:1">
      <c r="A2262" s="19" t="s">
        <v>424</v>
      </c>
    </row>
    <row r="2264" spans="1:1">
      <c r="A2264" s="22" t="s">
        <v>407</v>
      </c>
    </row>
    <row r="2266" spans="1:1">
      <c r="A2266" s="22">
        <v>2</v>
      </c>
    </row>
    <row r="2268" spans="1:1">
      <c r="A2268" s="22" t="s">
        <v>1209</v>
      </c>
    </row>
    <row r="2270" spans="1:1">
      <c r="A2270" s="22" t="s">
        <v>1079</v>
      </c>
    </row>
    <row r="2272" spans="1:1">
      <c r="A2272" s="19" t="s">
        <v>423</v>
      </c>
    </row>
    <row r="2274" spans="1:1">
      <c r="A2274" s="19" t="s">
        <v>424</v>
      </c>
    </row>
    <row r="2276" spans="1:1">
      <c r="A2276" s="22" t="s">
        <v>407</v>
      </c>
    </row>
    <row r="2278" spans="1:1">
      <c r="A2278" s="22">
        <v>2</v>
      </c>
    </row>
    <row r="2280" spans="1:1">
      <c r="A2280" s="22" t="s">
        <v>1210</v>
      </c>
    </row>
    <row r="2282" spans="1:1">
      <c r="A2282" s="22" t="s">
        <v>667</v>
      </c>
    </row>
    <row r="2284" spans="1:1">
      <c r="A2284" s="19" t="s">
        <v>423</v>
      </c>
    </row>
    <row r="2286" spans="1:1">
      <c r="A2286" s="19" t="s">
        <v>424</v>
      </c>
    </row>
    <row r="2288" spans="1:1">
      <c r="A2288" s="22" t="s">
        <v>407</v>
      </c>
    </row>
    <row r="2290" spans="1:1">
      <c r="A2290" s="22">
        <v>2</v>
      </c>
    </row>
    <row r="2292" spans="1:1">
      <c r="A2292" s="22" t="s">
        <v>1211</v>
      </c>
    </row>
    <row r="2294" spans="1:1">
      <c r="A2294" s="22" t="s">
        <v>458</v>
      </c>
    </row>
    <row r="2296" spans="1:1">
      <c r="A2296" s="19" t="s">
        <v>423</v>
      </c>
    </row>
    <row r="2298" spans="1:1">
      <c r="A2298" s="19" t="s">
        <v>424</v>
      </c>
    </row>
    <row r="2300" spans="1:1">
      <c r="A2300" s="22" t="s">
        <v>407</v>
      </c>
    </row>
    <row r="2302" spans="1:1">
      <c r="A2302" s="22">
        <v>4</v>
      </c>
    </row>
    <row r="2304" spans="1:1">
      <c r="A2304" s="22" t="s">
        <v>1212</v>
      </c>
    </row>
    <row r="2306" spans="1:1">
      <c r="A2306" s="22" t="s">
        <v>650</v>
      </c>
    </row>
    <row r="2308" spans="1:1">
      <c r="A2308" s="19" t="s">
        <v>423</v>
      </c>
    </row>
    <row r="2310" spans="1:1">
      <c r="A2310" s="19" t="s">
        <v>424</v>
      </c>
    </row>
    <row r="2312" spans="1:1">
      <c r="A2312" s="22" t="s">
        <v>407</v>
      </c>
    </row>
    <row r="2314" spans="1:1">
      <c r="A2314" s="22">
        <v>6</v>
      </c>
    </row>
    <row r="2316" spans="1:1">
      <c r="A2316" s="19" t="s">
        <v>687</v>
      </c>
    </row>
    <row r="2318" spans="1:1">
      <c r="A2318" s="22" t="s">
        <v>133</v>
      </c>
    </row>
    <row r="2319" spans="1:1">
      <c r="A2319" s="22" t="s">
        <v>131</v>
      </c>
    </row>
    <row r="2320" spans="1:1">
      <c r="A2320" s="22" t="s">
        <v>389</v>
      </c>
    </row>
    <row r="2322" spans="1:1">
      <c r="A2322" s="19" t="s">
        <v>400</v>
      </c>
    </row>
    <row r="2324" spans="1:1">
      <c r="A2324" s="19" t="s">
        <v>1019</v>
      </c>
    </row>
    <row r="2326" spans="1:1">
      <c r="A2326" s="22" t="s">
        <v>1028</v>
      </c>
    </row>
    <row r="2328" spans="1:1">
      <c r="A2328" s="22" t="s">
        <v>1213</v>
      </c>
    </row>
    <row r="2330" spans="1:1">
      <c r="A2330" s="22" t="s">
        <v>643</v>
      </c>
    </row>
    <row r="2332" spans="1:1">
      <c r="A2332" s="19" t="s">
        <v>406</v>
      </c>
    </row>
    <row r="2334" spans="1:1">
      <c r="A2334" s="22" t="s">
        <v>407</v>
      </c>
    </row>
    <row r="2336" spans="1:1">
      <c r="A2336" s="22">
        <v>3</v>
      </c>
    </row>
    <row r="2338" spans="1:1">
      <c r="A2338" s="22" t="s">
        <v>1214</v>
      </c>
    </row>
    <row r="2340" spans="1:1">
      <c r="A2340" s="22" t="s">
        <v>643</v>
      </c>
    </row>
    <row r="2342" spans="1:1">
      <c r="A2342" s="19" t="s">
        <v>423</v>
      </c>
    </row>
    <row r="2344" spans="1:1">
      <c r="A2344" s="19" t="s">
        <v>424</v>
      </c>
    </row>
    <row r="2346" spans="1:1">
      <c r="A2346" s="22" t="s">
        <v>407</v>
      </c>
    </row>
    <row r="2348" spans="1:1">
      <c r="A2348" s="22">
        <v>3</v>
      </c>
    </row>
    <row r="2350" spans="1:1">
      <c r="A2350" s="22" t="s">
        <v>1215</v>
      </c>
    </row>
    <row r="2352" spans="1:1">
      <c r="A2352" s="22" t="s">
        <v>1216</v>
      </c>
    </row>
    <row r="2354" spans="1:1">
      <c r="A2354" s="19" t="s">
        <v>423</v>
      </c>
    </row>
    <row r="2356" spans="1:1">
      <c r="A2356" s="19" t="s">
        <v>424</v>
      </c>
    </row>
    <row r="2358" spans="1:1">
      <c r="A2358" s="22" t="s">
        <v>407</v>
      </c>
    </row>
    <row r="2360" spans="1:1">
      <c r="A2360" s="22">
        <v>4</v>
      </c>
    </row>
    <row r="2362" spans="1:1">
      <c r="A2362" s="22" t="s">
        <v>1217</v>
      </c>
    </row>
    <row r="2364" spans="1:1">
      <c r="A2364" s="22" t="s">
        <v>1090</v>
      </c>
    </row>
    <row r="2366" spans="1:1">
      <c r="A2366" s="19" t="s">
        <v>423</v>
      </c>
    </row>
    <row r="2368" spans="1:1">
      <c r="A2368" s="19" t="s">
        <v>424</v>
      </c>
    </row>
    <row r="2370" spans="1:1">
      <c r="A2370" s="22" t="s">
        <v>407</v>
      </c>
    </row>
    <row r="2372" spans="1:1">
      <c r="A2372" s="22">
        <v>3</v>
      </c>
    </row>
    <row r="2374" spans="1:1">
      <c r="A2374" s="22" t="s">
        <v>1218</v>
      </c>
    </row>
    <row r="2376" spans="1:1">
      <c r="A2376" s="22" t="s">
        <v>523</v>
      </c>
    </row>
    <row r="2378" spans="1:1">
      <c r="A2378" s="19" t="s">
        <v>423</v>
      </c>
    </row>
    <row r="2380" spans="1:1">
      <c r="A2380" s="19" t="s">
        <v>424</v>
      </c>
    </row>
    <row r="2382" spans="1:1">
      <c r="A2382" s="22" t="s">
        <v>407</v>
      </c>
    </row>
    <row r="2384" spans="1:1">
      <c r="A2384" s="22">
        <v>3</v>
      </c>
    </row>
    <row r="2386" spans="1:1">
      <c r="A2386" s="22" t="s">
        <v>1219</v>
      </c>
    </row>
    <row r="2388" spans="1:1">
      <c r="A2388" s="22" t="s">
        <v>448</v>
      </c>
    </row>
    <row r="2390" spans="1:1">
      <c r="A2390" s="19" t="s">
        <v>423</v>
      </c>
    </row>
    <row r="2392" spans="1:1">
      <c r="A2392" s="19" t="s">
        <v>424</v>
      </c>
    </row>
    <row r="2394" spans="1:1">
      <c r="A2394" s="22" t="s">
        <v>407</v>
      </c>
    </row>
    <row r="2396" spans="1:1">
      <c r="A2396" s="22">
        <v>3</v>
      </c>
    </row>
    <row r="2398" spans="1:1">
      <c r="A2398" s="22" t="s">
        <v>1220</v>
      </c>
    </row>
    <row r="2400" spans="1:1">
      <c r="A2400" s="22" t="s">
        <v>1221</v>
      </c>
    </row>
    <row r="2402" spans="1:1">
      <c r="A2402" s="19" t="s">
        <v>423</v>
      </c>
    </row>
    <row r="2404" spans="1:1">
      <c r="A2404" s="19" t="s">
        <v>424</v>
      </c>
    </row>
    <row r="2406" spans="1:1">
      <c r="A2406" s="22" t="s">
        <v>407</v>
      </c>
    </row>
    <row r="2408" spans="1:1">
      <c r="A2408" s="22">
        <v>4</v>
      </c>
    </row>
    <row r="2410" spans="1:1">
      <c r="A2410" s="22" t="s">
        <v>1222</v>
      </c>
    </row>
    <row r="2412" spans="1:1">
      <c r="A2412" s="22" t="s">
        <v>552</v>
      </c>
    </row>
    <row r="2414" spans="1:1">
      <c r="A2414" s="19" t="s">
        <v>423</v>
      </c>
    </row>
    <row r="2416" spans="1:1">
      <c r="A2416" s="19" t="s">
        <v>424</v>
      </c>
    </row>
    <row r="2418" spans="1:1">
      <c r="A2418" s="22" t="s">
        <v>407</v>
      </c>
    </row>
    <row r="2420" spans="1:1">
      <c r="A2420" s="22">
        <v>3</v>
      </c>
    </row>
    <row r="2422" spans="1:1">
      <c r="A2422" s="19" t="s">
        <v>696</v>
      </c>
    </row>
    <row r="2424" spans="1:1">
      <c r="A2424" s="22" t="s">
        <v>133</v>
      </c>
    </row>
    <row r="2425" spans="1:1">
      <c r="A2425" s="22" t="s">
        <v>131</v>
      </c>
    </row>
    <row r="2426" spans="1:1">
      <c r="A2426" s="22" t="s">
        <v>389</v>
      </c>
    </row>
    <row r="2428" spans="1:1">
      <c r="A2428" s="19" t="s">
        <v>400</v>
      </c>
    </row>
    <row r="2430" spans="1:1">
      <c r="A2430" s="19" t="s">
        <v>1019</v>
      </c>
    </row>
    <row r="2432" spans="1:1">
      <c r="A2432" s="22" t="s">
        <v>1028</v>
      </c>
    </row>
    <row r="2434" spans="1:1">
      <c r="A2434" s="22" t="s">
        <v>1223</v>
      </c>
    </row>
    <row r="2436" spans="1:1">
      <c r="A2436" s="22" t="s">
        <v>906</v>
      </c>
    </row>
    <row r="2438" spans="1:1">
      <c r="A2438" s="19" t="s">
        <v>406</v>
      </c>
    </row>
    <row r="2440" spans="1:1">
      <c r="A2440" s="22" t="s">
        <v>407</v>
      </c>
    </row>
    <row r="2442" spans="1:1">
      <c r="A2442" s="22">
        <v>3</v>
      </c>
    </row>
    <row r="2444" spans="1:1">
      <c r="A2444" s="22" t="s">
        <v>1224</v>
      </c>
    </row>
    <row r="2446" spans="1:1">
      <c r="A2446" s="22" t="s">
        <v>906</v>
      </c>
    </row>
    <row r="2448" spans="1:1">
      <c r="A2448" s="19" t="s">
        <v>423</v>
      </c>
    </row>
    <row r="2450" spans="1:1">
      <c r="A2450" s="19" t="s">
        <v>424</v>
      </c>
    </row>
    <row r="2452" spans="1:1">
      <c r="A2452" s="22" t="s">
        <v>407</v>
      </c>
    </row>
    <row r="2454" spans="1:1">
      <c r="A2454" s="22">
        <v>3</v>
      </c>
    </row>
    <row r="2456" spans="1:1">
      <c r="A2456" s="22" t="s">
        <v>1225</v>
      </c>
    </row>
    <row r="2458" spans="1:1">
      <c r="A2458" s="22" t="s">
        <v>560</v>
      </c>
    </row>
    <row r="2460" spans="1:1">
      <c r="A2460" s="19" t="s">
        <v>423</v>
      </c>
    </row>
    <row r="2462" spans="1:1">
      <c r="A2462" s="19" t="s">
        <v>424</v>
      </c>
    </row>
    <row r="2464" spans="1:1">
      <c r="A2464" s="22" t="s">
        <v>407</v>
      </c>
    </row>
    <row r="2466" spans="1:1">
      <c r="A2466" s="22">
        <v>3</v>
      </c>
    </row>
    <row r="2468" spans="1:1">
      <c r="A2468" s="22" t="s">
        <v>1226</v>
      </c>
    </row>
    <row r="2470" spans="1:1">
      <c r="A2470" s="22" t="s">
        <v>564</v>
      </c>
    </row>
    <row r="2472" spans="1:1">
      <c r="A2472" s="19" t="s">
        <v>423</v>
      </c>
    </row>
    <row r="2474" spans="1:1">
      <c r="A2474" s="19" t="s">
        <v>424</v>
      </c>
    </row>
    <row r="2476" spans="1:1">
      <c r="A2476" s="22" t="s">
        <v>407</v>
      </c>
    </row>
    <row r="2478" spans="1:1">
      <c r="A2478" s="22">
        <v>6</v>
      </c>
    </row>
    <row r="2480" spans="1:1">
      <c r="A2480" s="22" t="s">
        <v>1227</v>
      </c>
    </row>
    <row r="2482" spans="1:1">
      <c r="A2482" s="22" t="s">
        <v>1228</v>
      </c>
    </row>
    <row r="2484" spans="1:1">
      <c r="A2484" s="19" t="s">
        <v>423</v>
      </c>
    </row>
    <row r="2486" spans="1:1">
      <c r="A2486" s="19" t="s">
        <v>424</v>
      </c>
    </row>
    <row r="2488" spans="1:1">
      <c r="A2488" s="22" t="s">
        <v>407</v>
      </c>
    </row>
    <row r="2490" spans="1:1">
      <c r="A2490" s="22">
        <v>4</v>
      </c>
    </row>
    <row r="2492" spans="1:1">
      <c r="A2492" s="22" t="s">
        <v>1229</v>
      </c>
    </row>
    <row r="2494" spans="1:1">
      <c r="A2494" s="22" t="s">
        <v>659</v>
      </c>
    </row>
    <row r="2496" spans="1:1">
      <c r="A2496" s="19" t="s">
        <v>423</v>
      </c>
    </row>
    <row r="2498" spans="1:1">
      <c r="A2498" s="19" t="s">
        <v>424</v>
      </c>
    </row>
    <row r="2500" spans="1:1">
      <c r="A2500" s="22" t="s">
        <v>407</v>
      </c>
    </row>
    <row r="2502" spans="1:1">
      <c r="A2502" s="22">
        <v>8</v>
      </c>
    </row>
    <row r="2504" spans="1:1">
      <c r="A2504" s="22" t="s">
        <v>1230</v>
      </c>
    </row>
    <row r="2506" spans="1:1">
      <c r="A2506" s="22" t="s">
        <v>441</v>
      </c>
    </row>
    <row r="2508" spans="1:1">
      <c r="A2508" s="19" t="s">
        <v>423</v>
      </c>
    </row>
    <row r="2510" spans="1:1">
      <c r="A2510" s="19" t="s">
        <v>424</v>
      </c>
    </row>
    <row r="2512" spans="1:1">
      <c r="A2512" s="22" t="s">
        <v>407</v>
      </c>
    </row>
    <row r="2514" spans="1:1">
      <c r="A2514" s="22">
        <v>2</v>
      </c>
    </row>
    <row r="2516" spans="1:1">
      <c r="A2516" s="22" t="s">
        <v>1231</v>
      </c>
    </row>
    <row r="2518" spans="1:1">
      <c r="A2518" s="22" t="s">
        <v>418</v>
      </c>
    </row>
    <row r="2520" spans="1:1">
      <c r="A2520" s="19" t="s">
        <v>423</v>
      </c>
    </row>
    <row r="2522" spans="1:1">
      <c r="A2522" s="19" t="s">
        <v>424</v>
      </c>
    </row>
    <row r="2524" spans="1:1">
      <c r="A2524" s="22" t="s">
        <v>407</v>
      </c>
    </row>
    <row r="2526" spans="1:1">
      <c r="A2526" s="22">
        <v>1</v>
      </c>
    </row>
    <row r="2528" spans="1:1">
      <c r="A2528" s="19" t="s">
        <v>710</v>
      </c>
    </row>
    <row r="2530" spans="1:1">
      <c r="A2530" s="22" t="s">
        <v>133</v>
      </c>
    </row>
    <row r="2531" spans="1:1">
      <c r="A2531" s="22" t="s">
        <v>131</v>
      </c>
    </row>
    <row r="2532" spans="1:1">
      <c r="A2532" s="22" t="s">
        <v>389</v>
      </c>
    </row>
    <row r="2534" spans="1:1">
      <c r="A2534" s="19" t="s">
        <v>400</v>
      </c>
    </row>
    <row r="2536" spans="1:1">
      <c r="A2536" s="19" t="s">
        <v>1019</v>
      </c>
    </row>
    <row r="2538" spans="1:1">
      <c r="A2538" s="22" t="s">
        <v>1028</v>
      </c>
    </row>
    <row r="2540" spans="1:1">
      <c r="A2540" s="22" t="s">
        <v>1232</v>
      </c>
    </row>
    <row r="2542" spans="1:1">
      <c r="A2542" s="22" t="s">
        <v>432</v>
      </c>
    </row>
    <row r="2544" spans="1:1">
      <c r="A2544" s="19" t="s">
        <v>406</v>
      </c>
    </row>
    <row r="2546" spans="1:1">
      <c r="A2546" s="22" t="s">
        <v>407</v>
      </c>
    </row>
    <row r="2548" spans="1:1">
      <c r="A2548" s="22">
        <v>1</v>
      </c>
    </row>
    <row r="2550" spans="1:1">
      <c r="A2550" s="22" t="s">
        <v>1233</v>
      </c>
    </row>
    <row r="2552" spans="1:1">
      <c r="A2552" s="22" t="s">
        <v>1234</v>
      </c>
    </row>
    <row r="2554" spans="1:1">
      <c r="A2554" s="19" t="s">
        <v>423</v>
      </c>
    </row>
    <row r="2556" spans="1:1">
      <c r="A2556" s="19" t="s">
        <v>424</v>
      </c>
    </row>
    <row r="2558" spans="1:1">
      <c r="A2558" s="22" t="s">
        <v>407</v>
      </c>
    </row>
    <row r="2560" spans="1:1">
      <c r="A2560" s="22">
        <v>18</v>
      </c>
    </row>
    <row r="2562" spans="1:1">
      <c r="A2562" s="22" t="s">
        <v>1235</v>
      </c>
    </row>
    <row r="2564" spans="1:1">
      <c r="A2564" s="22" t="s">
        <v>422</v>
      </c>
    </row>
    <row r="2566" spans="1:1">
      <c r="A2566" s="19" t="s">
        <v>423</v>
      </c>
    </row>
    <row r="2568" spans="1:1">
      <c r="A2568" s="19" t="s">
        <v>424</v>
      </c>
    </row>
    <row r="2570" spans="1:1">
      <c r="A2570" s="22" t="s">
        <v>407</v>
      </c>
    </row>
    <row r="2572" spans="1:1">
      <c r="A2572" s="22">
        <v>1</v>
      </c>
    </row>
    <row r="2574" spans="1:1">
      <c r="A2574" s="22" t="s">
        <v>1236</v>
      </c>
    </row>
    <row r="2576" spans="1:1">
      <c r="A2576" s="22" t="s">
        <v>441</v>
      </c>
    </row>
    <row r="2578" spans="1:1">
      <c r="A2578" s="19" t="s">
        <v>423</v>
      </c>
    </row>
    <row r="2580" spans="1:1">
      <c r="A2580" s="19" t="s">
        <v>424</v>
      </c>
    </row>
    <row r="2582" spans="1:1">
      <c r="A2582" s="22" t="s">
        <v>407</v>
      </c>
    </row>
    <row r="2584" spans="1:1">
      <c r="A2584" s="22">
        <v>2</v>
      </c>
    </row>
    <row r="2586" spans="1:1">
      <c r="A2586" s="22" t="s">
        <v>1237</v>
      </c>
    </row>
    <row r="2588" spans="1:1">
      <c r="A2588" s="22" t="s">
        <v>430</v>
      </c>
    </row>
    <row r="2590" spans="1:1">
      <c r="A2590" s="19" t="s">
        <v>423</v>
      </c>
    </row>
    <row r="2592" spans="1:1">
      <c r="A2592" s="19" t="s">
        <v>424</v>
      </c>
    </row>
    <row r="2594" spans="1:1">
      <c r="A2594" s="22" t="s">
        <v>407</v>
      </c>
    </row>
    <row r="2596" spans="1:1">
      <c r="A2596" s="22">
        <v>1</v>
      </c>
    </row>
    <row r="2598" spans="1:1">
      <c r="A2598" s="22" t="s">
        <v>1238</v>
      </c>
    </row>
    <row r="2600" spans="1:1">
      <c r="A2600" s="22" t="s">
        <v>650</v>
      </c>
    </row>
    <row r="2602" spans="1:1">
      <c r="A2602" s="19" t="s">
        <v>423</v>
      </c>
    </row>
    <row r="2604" spans="1:1">
      <c r="A2604" s="19" t="s">
        <v>424</v>
      </c>
    </row>
    <row r="2606" spans="1:1">
      <c r="A2606" s="22" t="s">
        <v>407</v>
      </c>
    </row>
    <row r="2608" spans="1:1">
      <c r="A2608" s="22">
        <v>10</v>
      </c>
    </row>
    <row r="2610" spans="1:1">
      <c r="A2610" s="22" t="s">
        <v>1239</v>
      </c>
    </row>
    <row r="2612" spans="1:1">
      <c r="A2612" s="22" t="s">
        <v>601</v>
      </c>
    </row>
    <row r="2614" spans="1:1">
      <c r="A2614" s="19" t="s">
        <v>423</v>
      </c>
    </row>
    <row r="2616" spans="1:1">
      <c r="A2616" s="19" t="s">
        <v>424</v>
      </c>
    </row>
    <row r="2618" spans="1:1">
      <c r="A2618" s="22" t="s">
        <v>407</v>
      </c>
    </row>
    <row r="2620" spans="1:1">
      <c r="A2620" s="22">
        <v>2</v>
      </c>
    </row>
    <row r="2622" spans="1:1">
      <c r="A2622" s="22" t="s">
        <v>1240</v>
      </c>
    </row>
    <row r="2624" spans="1:1">
      <c r="A2624" s="22" t="s">
        <v>738</v>
      </c>
    </row>
    <row r="2626" spans="1:1">
      <c r="A2626" s="19" t="s">
        <v>423</v>
      </c>
    </row>
    <row r="2628" spans="1:1">
      <c r="A2628" s="19" t="s">
        <v>424</v>
      </c>
    </row>
    <row r="2630" spans="1:1">
      <c r="A2630" s="22" t="s">
        <v>407</v>
      </c>
    </row>
    <row r="2632" spans="1:1">
      <c r="A2632" s="22">
        <v>2</v>
      </c>
    </row>
    <row r="2634" spans="1:1">
      <c r="A2634" s="19" t="s">
        <v>723</v>
      </c>
    </row>
    <row r="2636" spans="1:1">
      <c r="A2636" s="22" t="s">
        <v>133</v>
      </c>
    </row>
    <row r="2637" spans="1:1">
      <c r="A2637" s="22" t="s">
        <v>131</v>
      </c>
    </row>
    <row r="2638" spans="1:1">
      <c r="A2638" s="22" t="s">
        <v>389</v>
      </c>
    </row>
    <row r="2640" spans="1:1">
      <c r="A2640" s="19" t="s">
        <v>400</v>
      </c>
    </row>
    <row r="2642" spans="1:1">
      <c r="A2642" s="19" t="s">
        <v>1019</v>
      </c>
    </row>
    <row r="2644" spans="1:1">
      <c r="A2644" s="22" t="s">
        <v>1028</v>
      </c>
    </row>
    <row r="2646" spans="1:1">
      <c r="A2646" s="22" t="s">
        <v>1241</v>
      </c>
    </row>
    <row r="2648" spans="1:1">
      <c r="A2648" s="22" t="s">
        <v>422</v>
      </c>
    </row>
    <row r="2650" spans="1:1">
      <c r="A2650" s="19" t="s">
        <v>406</v>
      </c>
    </row>
    <row r="2652" spans="1:1">
      <c r="A2652" s="22" t="s">
        <v>407</v>
      </c>
    </row>
    <row r="2654" spans="1:1">
      <c r="A2654" s="22">
        <v>2</v>
      </c>
    </row>
    <row r="2656" spans="1:1">
      <c r="A2656" s="22" t="s">
        <v>1242</v>
      </c>
    </row>
    <row r="2658" spans="1:1">
      <c r="A2658" s="22" t="s">
        <v>438</v>
      </c>
    </row>
    <row r="2660" spans="1:1">
      <c r="A2660" s="19" t="s">
        <v>423</v>
      </c>
    </row>
    <row r="2662" spans="1:1">
      <c r="A2662" s="19" t="s">
        <v>424</v>
      </c>
    </row>
    <row r="2664" spans="1:1">
      <c r="A2664" s="22" t="s">
        <v>407</v>
      </c>
    </row>
    <row r="2666" spans="1:1">
      <c r="A2666" s="22">
        <v>2</v>
      </c>
    </row>
    <row r="2668" spans="1:1">
      <c r="A2668" s="22" t="s">
        <v>1243</v>
      </c>
    </row>
    <row r="2670" spans="1:1">
      <c r="A2670" s="22" t="s">
        <v>438</v>
      </c>
    </row>
    <row r="2672" spans="1:1">
      <c r="A2672" s="19" t="s">
        <v>423</v>
      </c>
    </row>
    <row r="2674" spans="1:1">
      <c r="A2674" s="19" t="s">
        <v>424</v>
      </c>
    </row>
    <row r="2676" spans="1:1">
      <c r="A2676" s="22" t="s">
        <v>407</v>
      </c>
    </row>
    <row r="2678" spans="1:1">
      <c r="A2678" s="22">
        <v>2</v>
      </c>
    </row>
    <row r="2680" spans="1:1">
      <c r="A2680" s="22" t="s">
        <v>1244</v>
      </c>
    </row>
    <row r="2682" spans="1:1">
      <c r="A2682" s="22" t="s">
        <v>422</v>
      </c>
    </row>
    <row r="2684" spans="1:1">
      <c r="A2684" s="19" t="s">
        <v>423</v>
      </c>
    </row>
    <row r="2686" spans="1:1">
      <c r="A2686" s="19" t="s">
        <v>424</v>
      </c>
    </row>
    <row r="2688" spans="1:1">
      <c r="A2688" s="22" t="s">
        <v>407</v>
      </c>
    </row>
    <row r="2690" spans="1:1">
      <c r="A2690" s="22">
        <v>2</v>
      </c>
    </row>
    <row r="2692" spans="1:1">
      <c r="A2692" s="22" t="s">
        <v>1245</v>
      </c>
    </row>
    <row r="2694" spans="1:1">
      <c r="A2694" s="22" t="s">
        <v>1246</v>
      </c>
    </row>
    <row r="2696" spans="1:1">
      <c r="A2696" s="19" t="s">
        <v>423</v>
      </c>
    </row>
    <row r="2698" spans="1:1">
      <c r="A2698" s="19" t="s">
        <v>424</v>
      </c>
    </row>
    <row r="2700" spans="1:1">
      <c r="A2700" s="22" t="s">
        <v>407</v>
      </c>
    </row>
    <row r="2702" spans="1:1">
      <c r="A2702" s="22">
        <v>2</v>
      </c>
    </row>
    <row r="2704" spans="1:1">
      <c r="A2704" s="22" t="s">
        <v>1247</v>
      </c>
    </row>
    <row r="2706" spans="1:1">
      <c r="A2706" s="22" t="s">
        <v>1248</v>
      </c>
    </row>
    <row r="2708" spans="1:1">
      <c r="A2708" s="19" t="s">
        <v>423</v>
      </c>
    </row>
    <row r="2710" spans="1:1">
      <c r="A2710" s="19" t="s">
        <v>424</v>
      </c>
    </row>
    <row r="2712" spans="1:1">
      <c r="A2712" s="22" t="s">
        <v>407</v>
      </c>
    </row>
    <row r="2714" spans="1:1">
      <c r="A2714" s="22">
        <v>5</v>
      </c>
    </row>
    <row r="2716" spans="1:1">
      <c r="A2716" s="22" t="s">
        <v>1249</v>
      </c>
    </row>
    <row r="2718" spans="1:1">
      <c r="A2718" s="22" t="s">
        <v>1250</v>
      </c>
    </row>
    <row r="2720" spans="1:1">
      <c r="A2720" s="19" t="s">
        <v>423</v>
      </c>
    </row>
    <row r="2722" spans="1:1">
      <c r="A2722" s="19" t="s">
        <v>424</v>
      </c>
    </row>
    <row r="2724" spans="1:1">
      <c r="A2724" s="22" t="s">
        <v>407</v>
      </c>
    </row>
    <row r="2726" spans="1:1">
      <c r="A2726" s="22">
        <v>2</v>
      </c>
    </row>
    <row r="2728" spans="1:1">
      <c r="A2728" s="22" t="s">
        <v>1251</v>
      </c>
    </row>
    <row r="2730" spans="1:1">
      <c r="A2730" s="22" t="s">
        <v>446</v>
      </c>
    </row>
    <row r="2732" spans="1:1">
      <c r="A2732" s="19" t="s">
        <v>423</v>
      </c>
    </row>
    <row r="2734" spans="1:1">
      <c r="A2734" s="19" t="s">
        <v>424</v>
      </c>
    </row>
    <row r="2736" spans="1:1">
      <c r="A2736" s="22" t="s">
        <v>407</v>
      </c>
    </row>
    <row r="2738" spans="1:1">
      <c r="A2738" s="22">
        <v>2</v>
      </c>
    </row>
    <row r="2740" spans="1:1">
      <c r="A2740" s="19" t="s">
        <v>736</v>
      </c>
    </row>
    <row r="2742" spans="1:1">
      <c r="A2742" s="22" t="s">
        <v>133</v>
      </c>
    </row>
    <row r="2743" spans="1:1">
      <c r="A2743" s="22" t="s">
        <v>131</v>
      </c>
    </row>
    <row r="2744" spans="1:1">
      <c r="A2744" s="22" t="s">
        <v>389</v>
      </c>
    </row>
    <row r="2746" spans="1:1">
      <c r="A2746" s="19" t="s">
        <v>400</v>
      </c>
    </row>
    <row r="2748" spans="1:1">
      <c r="A2748" s="19" t="s">
        <v>1019</v>
      </c>
    </row>
    <row r="2750" spans="1:1">
      <c r="A2750" s="22" t="s">
        <v>1028</v>
      </c>
    </row>
    <row r="2752" spans="1:1">
      <c r="A2752" s="22" t="s">
        <v>1252</v>
      </c>
    </row>
    <row r="2754" spans="1:1">
      <c r="A2754" s="22" t="s">
        <v>485</v>
      </c>
    </row>
    <row r="2756" spans="1:1">
      <c r="A2756" s="19" t="s">
        <v>406</v>
      </c>
    </row>
    <row r="2758" spans="1:1">
      <c r="A2758" s="22" t="s">
        <v>407</v>
      </c>
    </row>
    <row r="2760" spans="1:1">
      <c r="A2760" s="22">
        <v>2</v>
      </c>
    </row>
    <row r="2762" spans="1:1">
      <c r="A2762" s="22" t="s">
        <v>1253</v>
      </c>
    </row>
    <row r="2764" spans="1:1">
      <c r="A2764" s="22" t="s">
        <v>446</v>
      </c>
    </row>
    <row r="2766" spans="1:1">
      <c r="A2766" s="19" t="s">
        <v>423</v>
      </c>
    </row>
    <row r="2768" spans="1:1">
      <c r="A2768" s="19" t="s">
        <v>424</v>
      </c>
    </row>
    <row r="2770" spans="1:1">
      <c r="A2770" s="22" t="s">
        <v>407</v>
      </c>
    </row>
    <row r="2772" spans="1:1">
      <c r="A2772" s="22">
        <v>2</v>
      </c>
    </row>
    <row r="2774" spans="1:1">
      <c r="A2774" s="22" t="s">
        <v>1254</v>
      </c>
    </row>
    <row r="2776" spans="1:1">
      <c r="A2776" s="22" t="s">
        <v>839</v>
      </c>
    </row>
    <row r="2778" spans="1:1">
      <c r="A2778" s="19" t="s">
        <v>423</v>
      </c>
    </row>
    <row r="2780" spans="1:1">
      <c r="A2780" s="19" t="s">
        <v>424</v>
      </c>
    </row>
    <row r="2782" spans="1:1">
      <c r="A2782" s="22" t="s">
        <v>407</v>
      </c>
    </row>
    <row r="2784" spans="1:1">
      <c r="A2784" s="22">
        <v>2</v>
      </c>
    </row>
    <row r="2786" spans="1:1">
      <c r="A2786" s="22" t="s">
        <v>1255</v>
      </c>
    </row>
    <row r="2788" spans="1:1">
      <c r="A2788" s="22" t="s">
        <v>460</v>
      </c>
    </row>
    <row r="2790" spans="1:1">
      <c r="A2790" s="19" t="s">
        <v>423</v>
      </c>
    </row>
    <row r="2792" spans="1:1">
      <c r="A2792" s="19" t="s">
        <v>424</v>
      </c>
    </row>
    <row r="2794" spans="1:1">
      <c r="A2794" s="22" t="s">
        <v>407</v>
      </c>
    </row>
    <row r="2796" spans="1:1">
      <c r="A2796" s="22">
        <v>8</v>
      </c>
    </row>
    <row r="2798" spans="1:1">
      <c r="A2798" s="22" t="s">
        <v>1256</v>
      </c>
    </row>
    <row r="2800" spans="1:1">
      <c r="A2800" s="22" t="s">
        <v>843</v>
      </c>
    </row>
    <row r="2802" spans="1:1">
      <c r="A2802" s="19" t="s">
        <v>423</v>
      </c>
    </row>
    <row r="2804" spans="1:1">
      <c r="A2804" s="19" t="s">
        <v>424</v>
      </c>
    </row>
    <row r="2806" spans="1:1">
      <c r="A2806" s="22" t="s">
        <v>407</v>
      </c>
    </row>
    <row r="2808" spans="1:1">
      <c r="A2808" s="22">
        <v>2</v>
      </c>
    </row>
    <row r="2810" spans="1:1">
      <c r="A2810" s="22" t="s">
        <v>1257</v>
      </c>
    </row>
    <row r="2812" spans="1:1">
      <c r="A2812" s="22" t="s">
        <v>523</v>
      </c>
    </row>
    <row r="2814" spans="1:1">
      <c r="A2814" s="19" t="s">
        <v>423</v>
      </c>
    </row>
    <row r="2816" spans="1:1">
      <c r="A2816" s="19" t="s">
        <v>424</v>
      </c>
    </row>
    <row r="2818" spans="1:1">
      <c r="A2818" s="22" t="s">
        <v>407</v>
      </c>
    </row>
    <row r="2820" spans="1:1">
      <c r="A2820" s="22">
        <v>3</v>
      </c>
    </row>
    <row r="2822" spans="1:1">
      <c r="A2822" s="22" t="s">
        <v>1258</v>
      </c>
    </row>
    <row r="2824" spans="1:1">
      <c r="A2824" s="22" t="s">
        <v>441</v>
      </c>
    </row>
    <row r="2826" spans="1:1">
      <c r="A2826" s="19" t="s">
        <v>423</v>
      </c>
    </row>
    <row r="2828" spans="1:1">
      <c r="A2828" s="19" t="s">
        <v>424</v>
      </c>
    </row>
    <row r="2830" spans="1:1">
      <c r="A2830" s="22" t="s">
        <v>407</v>
      </c>
    </row>
    <row r="2832" spans="1:1">
      <c r="A2832" s="22">
        <v>2</v>
      </c>
    </row>
    <row r="2834" spans="1:1">
      <c r="A2834" s="22" t="s">
        <v>1259</v>
      </c>
    </row>
    <row r="2836" spans="1:1">
      <c r="A2836" s="22" t="s">
        <v>726</v>
      </c>
    </row>
    <row r="2838" spans="1:1">
      <c r="A2838" s="19" t="s">
        <v>423</v>
      </c>
    </row>
    <row r="2840" spans="1:1">
      <c r="A2840" s="19" t="s">
        <v>424</v>
      </c>
    </row>
    <row r="2842" spans="1:1">
      <c r="A2842" s="22" t="s">
        <v>407</v>
      </c>
    </row>
    <row r="2844" spans="1:1">
      <c r="A2844" s="22">
        <v>3</v>
      </c>
    </row>
    <row r="2846" spans="1:1">
      <c r="A2846" s="19" t="s">
        <v>749</v>
      </c>
    </row>
    <row r="2848" spans="1:1">
      <c r="A2848" s="22" t="s">
        <v>133</v>
      </c>
    </row>
    <row r="2849" spans="1:1">
      <c r="A2849" s="22" t="s">
        <v>131</v>
      </c>
    </row>
    <row r="2850" spans="1:1">
      <c r="A2850" s="22" t="s">
        <v>389</v>
      </c>
    </row>
    <row r="2852" spans="1:1">
      <c r="A2852" s="19" t="s">
        <v>400</v>
      </c>
    </row>
    <row r="2854" spans="1:1">
      <c r="A2854" s="19" t="s">
        <v>1019</v>
      </c>
    </row>
    <row r="2856" spans="1:1">
      <c r="A2856" s="22" t="s">
        <v>1028</v>
      </c>
    </row>
    <row r="2858" spans="1:1">
      <c r="A2858" s="22" t="s">
        <v>1260</v>
      </c>
    </row>
    <row r="2860" spans="1:1">
      <c r="A2860" s="22" t="s">
        <v>1261</v>
      </c>
    </row>
    <row r="2862" spans="1:1">
      <c r="A2862" s="19" t="s">
        <v>406</v>
      </c>
    </row>
    <row r="2864" spans="1:1">
      <c r="A2864" s="22" t="s">
        <v>407</v>
      </c>
    </row>
    <row r="2866" spans="1:1">
      <c r="A2866" s="22">
        <v>2</v>
      </c>
    </row>
    <row r="2868" spans="1:1">
      <c r="A2868" s="22" t="s">
        <v>1262</v>
      </c>
    </row>
    <row r="2870" spans="1:1">
      <c r="A2870" s="22" t="s">
        <v>1261</v>
      </c>
    </row>
    <row r="2872" spans="1:1">
      <c r="A2872" s="19" t="s">
        <v>423</v>
      </c>
    </row>
    <row r="2874" spans="1:1">
      <c r="A2874" s="19" t="s">
        <v>424</v>
      </c>
    </row>
    <row r="2876" spans="1:1">
      <c r="A2876" s="22" t="s">
        <v>407</v>
      </c>
    </row>
    <row r="2878" spans="1:1">
      <c r="A2878" s="22">
        <v>2</v>
      </c>
    </row>
    <row r="2880" spans="1:1">
      <c r="A2880" s="22" t="s">
        <v>1263</v>
      </c>
    </row>
    <row r="2882" spans="1:1">
      <c r="A2882" s="22" t="s">
        <v>464</v>
      </c>
    </row>
    <row r="2884" spans="1:1">
      <c r="A2884" s="19" t="s">
        <v>423</v>
      </c>
    </row>
    <row r="2886" spans="1:1">
      <c r="A2886" s="19" t="s">
        <v>424</v>
      </c>
    </row>
    <row r="2888" spans="1:1">
      <c r="A2888" s="22" t="s">
        <v>407</v>
      </c>
    </row>
    <row r="2890" spans="1:1">
      <c r="A2890" s="22">
        <v>3</v>
      </c>
    </row>
    <row r="2892" spans="1:1">
      <c r="A2892" s="22" t="s">
        <v>1264</v>
      </c>
    </row>
    <row r="2894" spans="1:1">
      <c r="A2894" s="22" t="s">
        <v>436</v>
      </c>
    </row>
    <row r="2896" spans="1:1">
      <c r="A2896" s="19" t="s">
        <v>423</v>
      </c>
    </row>
    <row r="2898" spans="1:1">
      <c r="A2898" s="19" t="s">
        <v>424</v>
      </c>
    </row>
    <row r="2900" spans="1:1">
      <c r="A2900" s="22" t="s">
        <v>407</v>
      </c>
    </row>
    <row r="2902" spans="1:1">
      <c r="A2902" s="22">
        <v>3</v>
      </c>
    </row>
    <row r="2904" spans="1:1">
      <c r="A2904" s="22" t="s">
        <v>1265</v>
      </c>
    </row>
    <row r="2906" spans="1:1">
      <c r="A2906" s="22" t="s">
        <v>733</v>
      </c>
    </row>
    <row r="2908" spans="1:1">
      <c r="A2908" s="19" t="s">
        <v>423</v>
      </c>
    </row>
    <row r="2910" spans="1:1">
      <c r="A2910" s="19" t="s">
        <v>424</v>
      </c>
    </row>
    <row r="2912" spans="1:1">
      <c r="A2912" s="22" t="s">
        <v>407</v>
      </c>
    </row>
    <row r="2914" spans="1:1">
      <c r="A2914" s="22">
        <v>2</v>
      </c>
    </row>
    <row r="2916" spans="1:1">
      <c r="A2916" s="22" t="s">
        <v>1266</v>
      </c>
    </row>
    <row r="2918" spans="1:1">
      <c r="A2918" s="22" t="s">
        <v>633</v>
      </c>
    </row>
    <row r="2920" spans="1:1">
      <c r="A2920" s="19" t="s">
        <v>423</v>
      </c>
    </row>
    <row r="2922" spans="1:1">
      <c r="A2922" s="19" t="s">
        <v>424</v>
      </c>
    </row>
    <row r="2924" spans="1:1">
      <c r="A2924" s="22" t="s">
        <v>407</v>
      </c>
    </row>
    <row r="2926" spans="1:1">
      <c r="A2926" s="22">
        <v>2</v>
      </c>
    </row>
    <row r="2928" spans="1:1">
      <c r="A2928" s="22" t="s">
        <v>1267</v>
      </c>
    </row>
    <row r="2930" spans="1:1">
      <c r="A2930" s="22" t="s">
        <v>534</v>
      </c>
    </row>
    <row r="2932" spans="1:1">
      <c r="A2932" s="19" t="s">
        <v>423</v>
      </c>
    </row>
    <row r="2934" spans="1:1">
      <c r="A2934" s="19" t="s">
        <v>424</v>
      </c>
    </row>
    <row r="2936" spans="1:1">
      <c r="A2936" s="22" t="s">
        <v>407</v>
      </c>
    </row>
    <row r="2938" spans="1:1">
      <c r="A2938" s="22">
        <v>2</v>
      </c>
    </row>
    <row r="2940" spans="1:1">
      <c r="A2940" s="22" t="s">
        <v>1268</v>
      </c>
    </row>
    <row r="2942" spans="1:1">
      <c r="A2942" s="22" t="s">
        <v>458</v>
      </c>
    </row>
    <row r="2944" spans="1:1">
      <c r="A2944" s="19" t="s">
        <v>423</v>
      </c>
    </row>
    <row r="2946" spans="1:1">
      <c r="A2946" s="19" t="s">
        <v>424</v>
      </c>
    </row>
    <row r="2948" spans="1:1">
      <c r="A2948" s="22" t="s">
        <v>407</v>
      </c>
    </row>
    <row r="2950" spans="1:1">
      <c r="A2950" s="22">
        <v>6</v>
      </c>
    </row>
    <row r="2952" spans="1:1">
      <c r="A2952" s="19" t="s">
        <v>759</v>
      </c>
    </row>
    <row r="2954" spans="1:1">
      <c r="A2954" s="22" t="s">
        <v>133</v>
      </c>
    </row>
    <row r="2955" spans="1:1">
      <c r="A2955" s="22" t="s">
        <v>131</v>
      </c>
    </row>
    <row r="2956" spans="1:1">
      <c r="A2956" s="22" t="s">
        <v>389</v>
      </c>
    </row>
    <row r="2958" spans="1:1">
      <c r="A2958" s="19" t="s">
        <v>400</v>
      </c>
    </row>
    <row r="2960" spans="1:1">
      <c r="A2960" s="19" t="s">
        <v>1019</v>
      </c>
    </row>
    <row r="2962" spans="1:1">
      <c r="A2962" s="22" t="s">
        <v>1028</v>
      </c>
    </row>
    <row r="2964" spans="1:1">
      <c r="A2964" s="22" t="s">
        <v>1269</v>
      </c>
    </row>
    <row r="2966" spans="1:1">
      <c r="A2966" s="22" t="s">
        <v>672</v>
      </c>
    </row>
    <row r="2968" spans="1:1">
      <c r="A2968" s="19" t="s">
        <v>406</v>
      </c>
    </row>
    <row r="2970" spans="1:1">
      <c r="A2970" s="22" t="s">
        <v>407</v>
      </c>
    </row>
    <row r="2972" spans="1:1">
      <c r="A2972" s="22">
        <v>3</v>
      </c>
    </row>
    <row r="2974" spans="1:1">
      <c r="A2974" s="22" t="s">
        <v>1270</v>
      </c>
    </row>
    <row r="2976" spans="1:1">
      <c r="A2976" s="22" t="s">
        <v>672</v>
      </c>
    </row>
    <row r="2978" spans="1:1">
      <c r="A2978" s="19" t="s">
        <v>423</v>
      </c>
    </row>
    <row r="2980" spans="1:1">
      <c r="A2980" s="19" t="s">
        <v>424</v>
      </c>
    </row>
    <row r="2982" spans="1:1">
      <c r="A2982" s="22" t="s">
        <v>407</v>
      </c>
    </row>
    <row r="2984" spans="1:1">
      <c r="A2984" s="22">
        <v>3</v>
      </c>
    </row>
    <row r="2986" spans="1:1">
      <c r="A2986" s="22" t="s">
        <v>1271</v>
      </c>
    </row>
    <row r="2988" spans="1:1">
      <c r="A2988" s="22" t="s">
        <v>540</v>
      </c>
    </row>
    <row r="2990" spans="1:1">
      <c r="A2990" s="19" t="s">
        <v>423</v>
      </c>
    </row>
    <row r="2992" spans="1:1">
      <c r="A2992" s="19" t="s">
        <v>424</v>
      </c>
    </row>
    <row r="2994" spans="1:1">
      <c r="A2994" s="22" t="s">
        <v>407</v>
      </c>
    </row>
    <row r="2996" spans="1:1">
      <c r="A2996" s="22">
        <v>3</v>
      </c>
    </row>
    <row r="2998" spans="1:1">
      <c r="A2998" s="22" t="s">
        <v>1272</v>
      </c>
    </row>
    <row r="3000" spans="1:1">
      <c r="A3000" s="22" t="s">
        <v>538</v>
      </c>
    </row>
    <row r="3002" spans="1:1">
      <c r="A3002" s="19" t="s">
        <v>423</v>
      </c>
    </row>
    <row r="3004" spans="1:1">
      <c r="A3004" s="19" t="s">
        <v>424</v>
      </c>
    </row>
    <row r="3006" spans="1:1">
      <c r="A3006" s="22" t="s">
        <v>407</v>
      </c>
    </row>
    <row r="3008" spans="1:1">
      <c r="A3008" s="22">
        <v>2</v>
      </c>
    </row>
    <row r="3010" spans="1:1">
      <c r="A3010" s="22" t="s">
        <v>1273</v>
      </c>
    </row>
    <row r="3012" spans="1:1">
      <c r="A3012" s="22" t="s">
        <v>745</v>
      </c>
    </row>
    <row r="3014" spans="1:1">
      <c r="A3014" s="19" t="s">
        <v>423</v>
      </c>
    </row>
    <row r="3016" spans="1:1">
      <c r="A3016" s="19" t="s">
        <v>424</v>
      </c>
    </row>
    <row r="3018" spans="1:1">
      <c r="A3018" s="22" t="s">
        <v>407</v>
      </c>
    </row>
    <row r="3020" spans="1:1">
      <c r="A3020" s="22">
        <v>2</v>
      </c>
    </row>
    <row r="3022" spans="1:1">
      <c r="A3022" s="22" t="s">
        <v>1274</v>
      </c>
    </row>
    <row r="3024" spans="1:1">
      <c r="A3024" s="22" t="s">
        <v>676</v>
      </c>
    </row>
    <row r="3026" spans="1:1">
      <c r="A3026" s="19" t="s">
        <v>423</v>
      </c>
    </row>
    <row r="3028" spans="1:1">
      <c r="A3028" s="19" t="s">
        <v>424</v>
      </c>
    </row>
    <row r="3030" spans="1:1">
      <c r="A3030" s="22" t="s">
        <v>407</v>
      </c>
    </row>
    <row r="3032" spans="1:1">
      <c r="A3032" s="22">
        <v>2</v>
      </c>
    </row>
    <row r="3034" spans="1:1">
      <c r="A3034" s="22" t="s">
        <v>1275</v>
      </c>
    </row>
    <row r="3036" spans="1:1">
      <c r="A3036" s="22" t="s">
        <v>709</v>
      </c>
    </row>
    <row r="3038" spans="1:1">
      <c r="A3038" s="19" t="s">
        <v>423</v>
      </c>
    </row>
    <row r="3040" spans="1:1">
      <c r="A3040" s="19" t="s">
        <v>424</v>
      </c>
    </row>
    <row r="3042" spans="1:1">
      <c r="A3042" s="22" t="s">
        <v>407</v>
      </c>
    </row>
    <row r="3044" spans="1:1">
      <c r="A3044" s="22">
        <v>2</v>
      </c>
    </row>
    <row r="3046" spans="1:1">
      <c r="A3046" s="22" t="s">
        <v>1276</v>
      </c>
    </row>
    <row r="3048" spans="1:1">
      <c r="A3048" s="22" t="s">
        <v>648</v>
      </c>
    </row>
    <row r="3050" spans="1:1">
      <c r="A3050" s="19" t="s">
        <v>423</v>
      </c>
    </row>
    <row r="3052" spans="1:1">
      <c r="A3052" s="19" t="s">
        <v>424</v>
      </c>
    </row>
    <row r="3054" spans="1:1">
      <c r="A3054" s="22" t="s">
        <v>407</v>
      </c>
    </row>
    <row r="3056" spans="1:1">
      <c r="A3056" s="22">
        <v>2</v>
      </c>
    </row>
    <row r="3058" spans="1:1">
      <c r="A3058" s="19" t="s">
        <v>772</v>
      </c>
    </row>
    <row r="3060" spans="1:1">
      <c r="A3060" s="22" t="s">
        <v>133</v>
      </c>
    </row>
    <row r="3061" spans="1:1">
      <c r="A3061" s="22" t="s">
        <v>131</v>
      </c>
    </row>
    <row r="3062" spans="1:1">
      <c r="A3062" s="22" t="s">
        <v>389</v>
      </c>
    </row>
    <row r="3064" spans="1:1">
      <c r="A3064" s="19" t="s">
        <v>400</v>
      </c>
    </row>
    <row r="3066" spans="1:1">
      <c r="A3066" s="19" t="s">
        <v>1019</v>
      </c>
    </row>
    <row r="3068" spans="1:1">
      <c r="A3068" s="22" t="s">
        <v>1028</v>
      </c>
    </row>
    <row r="3070" spans="1:1">
      <c r="A3070" s="22" t="s">
        <v>1277</v>
      </c>
    </row>
    <row r="3072" spans="1:1">
      <c r="A3072" s="22" t="s">
        <v>650</v>
      </c>
    </row>
    <row r="3074" spans="1:1">
      <c r="A3074" s="19" t="s">
        <v>406</v>
      </c>
    </row>
    <row r="3076" spans="1:1">
      <c r="A3076" s="22" t="s">
        <v>407</v>
      </c>
    </row>
    <row r="3078" spans="1:1">
      <c r="A3078" s="22">
        <v>6</v>
      </c>
    </row>
    <row r="3080" spans="1:1">
      <c r="A3080" s="22" t="s">
        <v>1278</v>
      </c>
    </row>
    <row r="3082" spans="1:1">
      <c r="A3082" s="22" t="s">
        <v>652</v>
      </c>
    </row>
    <row r="3084" spans="1:1">
      <c r="A3084" s="19" t="s">
        <v>423</v>
      </c>
    </row>
    <row r="3086" spans="1:1">
      <c r="A3086" s="19" t="s">
        <v>424</v>
      </c>
    </row>
    <row r="3088" spans="1:1">
      <c r="A3088" s="22" t="s">
        <v>407</v>
      </c>
    </row>
    <row r="3090" spans="1:1">
      <c r="A3090" s="22">
        <v>2</v>
      </c>
    </row>
    <row r="3092" spans="1:1">
      <c r="A3092" s="22" t="s">
        <v>1279</v>
      </c>
    </row>
    <row r="3094" spans="1:1">
      <c r="A3094" s="22" t="s">
        <v>1280</v>
      </c>
    </row>
    <row r="3096" spans="1:1">
      <c r="A3096" s="19" t="s">
        <v>423</v>
      </c>
    </row>
    <row r="3098" spans="1:1">
      <c r="A3098" s="19" t="s">
        <v>424</v>
      </c>
    </row>
    <row r="3100" spans="1:1">
      <c r="A3100" s="22" t="s">
        <v>407</v>
      </c>
    </row>
    <row r="3102" spans="1:1">
      <c r="A3102" s="22">
        <v>2</v>
      </c>
    </row>
    <row r="3104" spans="1:1">
      <c r="A3104" s="22" t="s">
        <v>1281</v>
      </c>
    </row>
    <row r="3106" spans="1:1">
      <c r="A3106" s="22" t="s">
        <v>492</v>
      </c>
    </row>
    <row r="3108" spans="1:1">
      <c r="A3108" s="19" t="s">
        <v>423</v>
      </c>
    </row>
    <row r="3110" spans="1:1">
      <c r="A3110" s="19" t="s">
        <v>424</v>
      </c>
    </row>
    <row r="3112" spans="1:1">
      <c r="A3112" s="22" t="s">
        <v>407</v>
      </c>
    </row>
    <row r="3114" spans="1:1">
      <c r="A3114" s="22">
        <v>2</v>
      </c>
    </row>
    <row r="3116" spans="1:1">
      <c r="A3116" s="22" t="s">
        <v>1282</v>
      </c>
    </row>
    <row r="3118" spans="1:1">
      <c r="A3118" s="22" t="s">
        <v>755</v>
      </c>
    </row>
    <row r="3120" spans="1:1">
      <c r="A3120" s="19" t="s">
        <v>423</v>
      </c>
    </row>
    <row r="3122" spans="1:1">
      <c r="A3122" s="19" t="s">
        <v>424</v>
      </c>
    </row>
    <row r="3124" spans="1:1">
      <c r="A3124" s="22" t="s">
        <v>407</v>
      </c>
    </row>
    <row r="3126" spans="1:1">
      <c r="A3126" s="22">
        <v>3</v>
      </c>
    </row>
    <row r="3128" spans="1:1">
      <c r="A3128" s="22" t="s">
        <v>1283</v>
      </c>
    </row>
    <row r="3130" spans="1:1">
      <c r="A3130" s="22" t="s">
        <v>1096</v>
      </c>
    </row>
    <row r="3132" spans="1:1">
      <c r="A3132" s="19" t="s">
        <v>423</v>
      </c>
    </row>
    <row r="3134" spans="1:1">
      <c r="A3134" s="19" t="s">
        <v>424</v>
      </c>
    </row>
    <row r="3136" spans="1:1">
      <c r="A3136" s="22" t="s">
        <v>407</v>
      </c>
    </row>
    <row r="3138" spans="1:1">
      <c r="A3138" s="22">
        <v>3</v>
      </c>
    </row>
    <row r="3140" spans="1:1">
      <c r="A3140" s="22" t="s">
        <v>1284</v>
      </c>
    </row>
    <row r="3142" spans="1:1">
      <c r="A3142" s="22" t="s">
        <v>418</v>
      </c>
    </row>
    <row r="3144" spans="1:1">
      <c r="A3144" s="19" t="s">
        <v>423</v>
      </c>
    </row>
    <row r="3146" spans="1:1">
      <c r="A3146" s="19" t="s">
        <v>424</v>
      </c>
    </row>
    <row r="3148" spans="1:1">
      <c r="A3148" s="22" t="s">
        <v>407</v>
      </c>
    </row>
    <row r="3150" spans="1:1">
      <c r="A3150" s="22">
        <v>1</v>
      </c>
    </row>
    <row r="3152" spans="1:1">
      <c r="A3152" s="22" t="s">
        <v>1285</v>
      </c>
    </row>
    <row r="3154" spans="1:1">
      <c r="A3154" s="22" t="s">
        <v>422</v>
      </c>
    </row>
    <row r="3156" spans="1:1">
      <c r="A3156" s="19" t="s">
        <v>423</v>
      </c>
    </row>
    <row r="3158" spans="1:1">
      <c r="A3158" s="19" t="s">
        <v>424</v>
      </c>
    </row>
    <row r="3160" spans="1:1">
      <c r="A3160" s="22" t="s">
        <v>407</v>
      </c>
    </row>
    <row r="3162" spans="1:1">
      <c r="A3162" s="22">
        <v>1</v>
      </c>
    </row>
    <row r="3164" spans="1:1">
      <c r="A3164" s="19" t="s">
        <v>784</v>
      </c>
    </row>
    <row r="3166" spans="1:1">
      <c r="A3166" s="22" t="s">
        <v>133</v>
      </c>
    </row>
    <row r="3167" spans="1:1">
      <c r="A3167" s="22" t="s">
        <v>131</v>
      </c>
    </row>
    <row r="3168" spans="1:1">
      <c r="A3168" s="22" t="s">
        <v>389</v>
      </c>
    </row>
    <row r="3170" spans="1:1">
      <c r="A3170" s="19" t="s">
        <v>400</v>
      </c>
    </row>
    <row r="3172" spans="1:1">
      <c r="A3172" s="19" t="s">
        <v>1019</v>
      </c>
    </row>
    <row r="3174" spans="1:1">
      <c r="A3174" s="22" t="s">
        <v>1028</v>
      </c>
    </row>
    <row r="3176" spans="1:1">
      <c r="A3176" s="22" t="s">
        <v>1286</v>
      </c>
    </row>
    <row r="3178" spans="1:1">
      <c r="A3178" s="22" t="s">
        <v>436</v>
      </c>
    </row>
    <row r="3180" spans="1:1">
      <c r="A3180" s="19" t="s">
        <v>406</v>
      </c>
    </row>
    <row r="3182" spans="1:1">
      <c r="A3182" s="22" t="s">
        <v>407</v>
      </c>
    </row>
    <row r="3184" spans="1:1">
      <c r="A3184" s="22">
        <v>3</v>
      </c>
    </row>
    <row r="3186" spans="1:1">
      <c r="A3186" s="22" t="s">
        <v>1287</v>
      </c>
    </row>
    <row r="3188" spans="1:1">
      <c r="A3188" s="22" t="s">
        <v>441</v>
      </c>
    </row>
    <row r="3190" spans="1:1">
      <c r="A3190" s="19" t="s">
        <v>423</v>
      </c>
    </row>
    <row r="3192" spans="1:1">
      <c r="A3192" s="19" t="s">
        <v>424</v>
      </c>
    </row>
    <row r="3194" spans="1:1">
      <c r="A3194" s="22" t="s">
        <v>407</v>
      </c>
    </row>
    <row r="3196" spans="1:1">
      <c r="A3196" s="22">
        <v>2</v>
      </c>
    </row>
    <row r="3198" spans="1:1">
      <c r="A3198" s="22" t="s">
        <v>1288</v>
      </c>
    </row>
    <row r="3200" spans="1:1">
      <c r="A3200" s="22" t="s">
        <v>438</v>
      </c>
    </row>
    <row r="3202" spans="1:1">
      <c r="A3202" s="19" t="s">
        <v>423</v>
      </c>
    </row>
    <row r="3204" spans="1:1">
      <c r="A3204" s="19" t="s">
        <v>424</v>
      </c>
    </row>
    <row r="3206" spans="1:1">
      <c r="A3206" s="22" t="s">
        <v>407</v>
      </c>
    </row>
    <row r="3208" spans="1:1">
      <c r="A3208" s="22">
        <v>2</v>
      </c>
    </row>
    <row r="3210" spans="1:1">
      <c r="A3210" s="22" t="s">
        <v>1289</v>
      </c>
    </row>
    <row r="3212" spans="1:1">
      <c r="A3212" s="22" t="s">
        <v>438</v>
      </c>
    </row>
    <row r="3214" spans="1:1">
      <c r="A3214" s="19" t="s">
        <v>423</v>
      </c>
    </row>
    <row r="3216" spans="1:1">
      <c r="A3216" s="19" t="s">
        <v>424</v>
      </c>
    </row>
    <row r="3218" spans="1:1">
      <c r="A3218" s="22" t="s">
        <v>407</v>
      </c>
    </row>
    <row r="3220" spans="1:1">
      <c r="A3220" s="22">
        <v>2</v>
      </c>
    </row>
    <row r="3222" spans="1:1">
      <c r="A3222" s="22" t="s">
        <v>1290</v>
      </c>
    </row>
    <row r="3224" spans="1:1">
      <c r="A3224" s="22" t="s">
        <v>428</v>
      </c>
    </row>
    <row r="3226" spans="1:1">
      <c r="A3226" s="19" t="s">
        <v>423</v>
      </c>
    </row>
    <row r="3228" spans="1:1">
      <c r="A3228" s="19" t="s">
        <v>424</v>
      </c>
    </row>
    <row r="3230" spans="1:1">
      <c r="A3230" s="22" t="s">
        <v>407</v>
      </c>
    </row>
    <row r="3232" spans="1:1">
      <c r="A3232" s="22">
        <v>3</v>
      </c>
    </row>
    <row r="3234" spans="1:1">
      <c r="A3234" s="22" t="s">
        <v>1291</v>
      </c>
    </row>
    <row r="3236" spans="1:1">
      <c r="A3236" s="22" t="s">
        <v>422</v>
      </c>
    </row>
    <row r="3238" spans="1:1">
      <c r="A3238" s="19" t="s">
        <v>423</v>
      </c>
    </row>
    <row r="3240" spans="1:1">
      <c r="A3240" s="19" t="s">
        <v>424</v>
      </c>
    </row>
    <row r="3242" spans="1:1">
      <c r="A3242" s="22" t="s">
        <v>407</v>
      </c>
    </row>
    <row r="3244" spans="1:1">
      <c r="A3244" s="22">
        <v>2</v>
      </c>
    </row>
    <row r="3246" spans="1:1">
      <c r="A3246" s="22" t="s">
        <v>1292</v>
      </c>
    </row>
    <row r="3248" spans="1:1">
      <c r="A3248" s="22" t="s">
        <v>1053</v>
      </c>
    </row>
    <row r="3250" spans="1:1">
      <c r="A3250" s="19" t="s">
        <v>423</v>
      </c>
    </row>
    <row r="3252" spans="1:1">
      <c r="A3252" s="19" t="s">
        <v>424</v>
      </c>
    </row>
    <row r="3254" spans="1:1">
      <c r="A3254" s="22" t="s">
        <v>407</v>
      </c>
    </row>
    <row r="3256" spans="1:1">
      <c r="A3256" s="22">
        <v>3</v>
      </c>
    </row>
    <row r="3258" spans="1:1">
      <c r="A3258" s="22" t="s">
        <v>1293</v>
      </c>
    </row>
    <row r="3260" spans="1:1">
      <c r="A3260" s="22" t="s">
        <v>1096</v>
      </c>
    </row>
    <row r="3262" spans="1:1">
      <c r="A3262" s="19" t="s">
        <v>423</v>
      </c>
    </row>
    <row r="3264" spans="1:1">
      <c r="A3264" s="19" t="s">
        <v>424</v>
      </c>
    </row>
    <row r="3266" spans="1:1">
      <c r="A3266" s="22" t="s">
        <v>407</v>
      </c>
    </row>
    <row r="3268" spans="1:1">
      <c r="A3268" s="22">
        <v>3</v>
      </c>
    </row>
    <row r="3270" spans="1:1">
      <c r="A3270" s="19" t="s">
        <v>794</v>
      </c>
    </row>
    <row r="3272" spans="1:1">
      <c r="A3272" s="22" t="s">
        <v>133</v>
      </c>
    </row>
    <row r="3273" spans="1:1">
      <c r="A3273" s="22" t="s">
        <v>131</v>
      </c>
    </row>
    <row r="3274" spans="1:1">
      <c r="A3274" s="22" t="s">
        <v>389</v>
      </c>
    </row>
    <row r="3276" spans="1:1">
      <c r="A3276" s="19" t="s">
        <v>400</v>
      </c>
    </row>
    <row r="3278" spans="1:1">
      <c r="A3278" s="19" t="s">
        <v>1019</v>
      </c>
    </row>
    <row r="3280" spans="1:1">
      <c r="A3280" s="22" t="s">
        <v>1028</v>
      </c>
    </row>
    <row r="3282" spans="1:1">
      <c r="A3282" s="22" t="s">
        <v>1294</v>
      </c>
    </row>
    <row r="3284" spans="1:1">
      <c r="A3284" s="22" t="s">
        <v>441</v>
      </c>
    </row>
    <row r="3286" spans="1:1">
      <c r="A3286" s="19" t="s">
        <v>406</v>
      </c>
    </row>
    <row r="3288" spans="1:1">
      <c r="A3288" s="22" t="s">
        <v>407</v>
      </c>
    </row>
    <row r="3290" spans="1:1">
      <c r="A3290" s="22">
        <v>2</v>
      </c>
    </row>
    <row r="3292" spans="1:1">
      <c r="A3292" s="22" t="s">
        <v>1295</v>
      </c>
    </row>
    <row r="3294" spans="1:1">
      <c r="A3294" s="22" t="s">
        <v>441</v>
      </c>
    </row>
    <row r="3296" spans="1:1">
      <c r="A3296" s="19" t="s">
        <v>423</v>
      </c>
    </row>
    <row r="3298" spans="1:1">
      <c r="A3298" s="19" t="s">
        <v>424</v>
      </c>
    </row>
    <row r="3300" spans="1:1">
      <c r="A3300" s="22" t="s">
        <v>407</v>
      </c>
    </row>
    <row r="3302" spans="1:1">
      <c r="A3302" s="22">
        <v>2</v>
      </c>
    </row>
    <row r="3304" spans="1:1">
      <c r="A3304" s="22" t="s">
        <v>1296</v>
      </c>
    </row>
    <row r="3306" spans="1:1">
      <c r="A3306" s="22" t="s">
        <v>1056</v>
      </c>
    </row>
    <row r="3308" spans="1:1">
      <c r="A3308" s="19" t="s">
        <v>423</v>
      </c>
    </row>
    <row r="3310" spans="1:1">
      <c r="A3310" s="19" t="s">
        <v>424</v>
      </c>
    </row>
    <row r="3312" spans="1:1">
      <c r="A3312" s="22" t="s">
        <v>407</v>
      </c>
    </row>
    <row r="3314" spans="1:1">
      <c r="A3314" s="22">
        <v>2</v>
      </c>
    </row>
    <row r="3316" spans="1:1">
      <c r="A3316" s="22" t="s">
        <v>1297</v>
      </c>
    </row>
    <row r="3318" spans="1:1">
      <c r="A3318" s="22" t="s">
        <v>428</v>
      </c>
    </row>
    <row r="3320" spans="1:1">
      <c r="A3320" s="19" t="s">
        <v>423</v>
      </c>
    </row>
    <row r="3322" spans="1:1">
      <c r="A3322" s="19" t="s">
        <v>424</v>
      </c>
    </row>
    <row r="3324" spans="1:1">
      <c r="A3324" s="22" t="s">
        <v>407</v>
      </c>
    </row>
    <row r="3326" spans="1:1">
      <c r="A3326" s="22">
        <v>3</v>
      </c>
    </row>
    <row r="3328" spans="1:1">
      <c r="A3328" s="22" t="s">
        <v>1298</v>
      </c>
    </row>
    <row r="3330" spans="1:1">
      <c r="A3330" s="22" t="s">
        <v>495</v>
      </c>
    </row>
    <row r="3332" spans="1:1">
      <c r="A3332" s="19" t="s">
        <v>423</v>
      </c>
    </row>
    <row r="3334" spans="1:1">
      <c r="A3334" s="19" t="s">
        <v>424</v>
      </c>
    </row>
    <row r="3336" spans="1:1">
      <c r="A3336" s="22" t="s">
        <v>407</v>
      </c>
    </row>
    <row r="3338" spans="1:1">
      <c r="A3338" s="22">
        <v>6</v>
      </c>
    </row>
    <row r="3340" spans="1:1">
      <c r="A3340" s="22" t="s">
        <v>1299</v>
      </c>
    </row>
    <row r="3342" spans="1:1">
      <c r="A3342" s="22" t="s">
        <v>495</v>
      </c>
    </row>
    <row r="3344" spans="1:1">
      <c r="A3344" s="19" t="s">
        <v>423</v>
      </c>
    </row>
    <row r="3346" spans="1:1">
      <c r="A3346" s="19" t="s">
        <v>424</v>
      </c>
    </row>
    <row r="3348" spans="1:1">
      <c r="A3348" s="22" t="s">
        <v>407</v>
      </c>
    </row>
    <row r="3350" spans="1:1">
      <c r="A3350" s="22">
        <v>6</v>
      </c>
    </row>
    <row r="3352" spans="1:1">
      <c r="A3352" s="22" t="s">
        <v>1300</v>
      </c>
    </row>
    <row r="3354" spans="1:1">
      <c r="A3354" s="22" t="s">
        <v>444</v>
      </c>
    </row>
    <row r="3356" spans="1:1">
      <c r="A3356" s="19" t="s">
        <v>423</v>
      </c>
    </row>
    <row r="3358" spans="1:1">
      <c r="A3358" s="19" t="s">
        <v>424</v>
      </c>
    </row>
    <row r="3360" spans="1:1">
      <c r="A3360" s="22" t="s">
        <v>407</v>
      </c>
    </row>
    <row r="3362" spans="1:1">
      <c r="A3362" s="22">
        <v>6</v>
      </c>
    </row>
    <row r="3364" spans="1:1">
      <c r="A3364" s="22" t="s">
        <v>1301</v>
      </c>
    </row>
    <row r="3366" spans="1:1">
      <c r="A3366" s="22" t="s">
        <v>444</v>
      </c>
    </row>
    <row r="3368" spans="1:1">
      <c r="A3368" s="19" t="s">
        <v>423</v>
      </c>
    </row>
    <row r="3370" spans="1:1">
      <c r="A3370" s="19" t="s">
        <v>424</v>
      </c>
    </row>
    <row r="3372" spans="1:1">
      <c r="A3372" s="22" t="s">
        <v>407</v>
      </c>
    </row>
    <row r="3374" spans="1:1">
      <c r="A3374" s="22">
        <v>6</v>
      </c>
    </row>
    <row r="3376" spans="1:1">
      <c r="A3376" s="19" t="s">
        <v>803</v>
      </c>
    </row>
    <row r="3378" spans="1:1">
      <c r="A3378" s="22" t="s">
        <v>133</v>
      </c>
    </row>
    <row r="3379" spans="1:1">
      <c r="A3379" s="22" t="s">
        <v>131</v>
      </c>
    </row>
    <row r="3380" spans="1:1">
      <c r="A3380" s="22" t="s">
        <v>389</v>
      </c>
    </row>
    <row r="3382" spans="1:1">
      <c r="A3382" s="19" t="s">
        <v>400</v>
      </c>
    </row>
    <row r="3384" spans="1:1">
      <c r="A3384" s="19" t="s">
        <v>1019</v>
      </c>
    </row>
    <row r="3386" spans="1:1">
      <c r="A3386" s="22" t="s">
        <v>1028</v>
      </c>
    </row>
    <row r="3388" spans="1:1">
      <c r="A3388" s="22" t="s">
        <v>1302</v>
      </c>
    </row>
    <row r="3390" spans="1:1">
      <c r="A3390" s="22" t="s">
        <v>582</v>
      </c>
    </row>
    <row r="3392" spans="1:1">
      <c r="A3392" s="19" t="s">
        <v>406</v>
      </c>
    </row>
    <row r="3394" spans="1:1">
      <c r="A3394" s="22" t="s">
        <v>407</v>
      </c>
    </row>
    <row r="3396" spans="1:1">
      <c r="A3396" s="22">
        <v>2</v>
      </c>
    </row>
    <row r="3398" spans="1:1">
      <c r="A3398" s="22" t="s">
        <v>1303</v>
      </c>
    </row>
    <row r="3400" spans="1:1">
      <c r="A3400" s="22" t="s">
        <v>587</v>
      </c>
    </row>
    <row r="3402" spans="1:1">
      <c r="A3402" s="19" t="s">
        <v>423</v>
      </c>
    </row>
    <row r="3404" spans="1:1">
      <c r="A3404" s="19" t="s">
        <v>424</v>
      </c>
    </row>
    <row r="3406" spans="1:1">
      <c r="A3406" s="22" t="s">
        <v>407</v>
      </c>
    </row>
    <row r="3408" spans="1:1">
      <c r="A3408" s="22">
        <v>2</v>
      </c>
    </row>
    <row r="3410" spans="1:1">
      <c r="A3410" s="22" t="s">
        <v>1304</v>
      </c>
    </row>
    <row r="3412" spans="1:1">
      <c r="A3412" s="22" t="s">
        <v>504</v>
      </c>
    </row>
    <row r="3414" spans="1:1">
      <c r="A3414" s="19" t="s">
        <v>423</v>
      </c>
    </row>
    <row r="3416" spans="1:1">
      <c r="A3416" s="19" t="s">
        <v>424</v>
      </c>
    </row>
    <row r="3418" spans="1:1">
      <c r="A3418" s="22" t="s">
        <v>407</v>
      </c>
    </row>
    <row r="3420" spans="1:1">
      <c r="A3420" s="22">
        <v>2</v>
      </c>
    </row>
    <row r="3422" spans="1:1">
      <c r="A3422" s="22" t="s">
        <v>1305</v>
      </c>
    </row>
    <row r="3424" spans="1:1">
      <c r="A3424" s="22" t="s">
        <v>703</v>
      </c>
    </row>
    <row r="3426" spans="1:1">
      <c r="A3426" s="19" t="s">
        <v>423</v>
      </c>
    </row>
    <row r="3428" spans="1:1">
      <c r="A3428" s="19" t="s">
        <v>424</v>
      </c>
    </row>
    <row r="3430" spans="1:1">
      <c r="A3430" s="22" t="s">
        <v>407</v>
      </c>
    </row>
    <row r="3432" spans="1:1">
      <c r="A3432" s="22">
        <v>4</v>
      </c>
    </row>
    <row r="3434" spans="1:1">
      <c r="A3434" s="22" t="s">
        <v>1306</v>
      </c>
    </row>
    <row r="3436" spans="1:1">
      <c r="A3436" s="22" t="s">
        <v>884</v>
      </c>
    </row>
    <row r="3438" spans="1:1">
      <c r="A3438" s="19" t="s">
        <v>423</v>
      </c>
    </row>
    <row r="3440" spans="1:1">
      <c r="A3440" s="19" t="s">
        <v>424</v>
      </c>
    </row>
    <row r="3442" spans="1:1">
      <c r="A3442" s="22" t="s">
        <v>407</v>
      </c>
    </row>
    <row r="3444" spans="1:1">
      <c r="A3444" s="22">
        <v>2</v>
      </c>
    </row>
    <row r="3446" spans="1:1">
      <c r="A3446" s="22" t="s">
        <v>1307</v>
      </c>
    </row>
    <row r="3448" spans="1:1">
      <c r="A3448" s="22" t="s">
        <v>1261</v>
      </c>
    </row>
    <row r="3450" spans="1:1">
      <c r="A3450" s="19" t="s">
        <v>423</v>
      </c>
    </row>
    <row r="3452" spans="1:1">
      <c r="A3452" s="19" t="s">
        <v>424</v>
      </c>
    </row>
    <row r="3454" spans="1:1">
      <c r="A3454" s="22" t="s">
        <v>407</v>
      </c>
    </row>
    <row r="3456" spans="1:1">
      <c r="A3456" s="22">
        <v>2</v>
      </c>
    </row>
    <row r="3458" spans="1:1">
      <c r="A3458" s="22" t="s">
        <v>1308</v>
      </c>
    </row>
    <row r="3460" spans="1:1">
      <c r="A3460" s="22" t="s">
        <v>550</v>
      </c>
    </row>
    <row r="3462" spans="1:1">
      <c r="A3462" s="19" t="s">
        <v>423</v>
      </c>
    </row>
    <row r="3464" spans="1:1">
      <c r="A3464" s="19" t="s">
        <v>424</v>
      </c>
    </row>
    <row r="3466" spans="1:1">
      <c r="A3466" s="22" t="s">
        <v>407</v>
      </c>
    </row>
    <row r="3468" spans="1:1">
      <c r="A3468" s="22">
        <v>2</v>
      </c>
    </row>
    <row r="3470" spans="1:1">
      <c r="A3470" s="22" t="s">
        <v>1309</v>
      </c>
    </row>
    <row r="3472" spans="1:1">
      <c r="A3472" s="22" t="s">
        <v>1310</v>
      </c>
    </row>
    <row r="3474" spans="1:1">
      <c r="A3474" s="19" t="s">
        <v>423</v>
      </c>
    </row>
    <row r="3476" spans="1:1">
      <c r="A3476" s="19" t="s">
        <v>424</v>
      </c>
    </row>
    <row r="3478" spans="1:1">
      <c r="A3478" s="22" t="s">
        <v>407</v>
      </c>
    </row>
    <row r="3480" spans="1:1">
      <c r="A3480" s="22">
        <v>3</v>
      </c>
    </row>
    <row r="3482" spans="1:1">
      <c r="A3482" s="19" t="s">
        <v>812</v>
      </c>
    </row>
    <row r="3484" spans="1:1">
      <c r="A3484" s="22" t="s">
        <v>133</v>
      </c>
    </row>
    <row r="3485" spans="1:1">
      <c r="A3485" s="22" t="s">
        <v>131</v>
      </c>
    </row>
    <row r="3486" spans="1:1">
      <c r="A3486" s="22" t="s">
        <v>389</v>
      </c>
    </row>
    <row r="3488" spans="1:1">
      <c r="A3488" s="19" t="s">
        <v>400</v>
      </c>
    </row>
    <row r="3490" spans="1:1">
      <c r="A3490" s="19" t="s">
        <v>1019</v>
      </c>
    </row>
    <row r="3492" spans="1:1">
      <c r="A3492" s="22" t="s">
        <v>1028</v>
      </c>
    </row>
    <row r="3494" spans="1:1">
      <c r="A3494" s="22" t="s">
        <v>1311</v>
      </c>
    </row>
    <row r="3496" spans="1:1">
      <c r="A3496" s="22" t="s">
        <v>832</v>
      </c>
    </row>
    <row r="3498" spans="1:1">
      <c r="A3498" s="19" t="s">
        <v>406</v>
      </c>
    </row>
    <row r="3500" spans="1:1">
      <c r="A3500" s="22" t="s">
        <v>407</v>
      </c>
    </row>
    <row r="3502" spans="1:1">
      <c r="A3502" s="22">
        <v>2</v>
      </c>
    </row>
    <row r="3504" spans="1:1">
      <c r="A3504" s="22" t="s">
        <v>1312</v>
      </c>
    </row>
    <row r="3506" spans="1:1">
      <c r="A3506" s="22" t="s">
        <v>1313</v>
      </c>
    </row>
    <row r="3508" spans="1:1">
      <c r="A3508" s="19" t="s">
        <v>423</v>
      </c>
    </row>
    <row r="3510" spans="1:1">
      <c r="A3510" s="19" t="s">
        <v>424</v>
      </c>
    </row>
    <row r="3512" spans="1:1">
      <c r="A3512" s="22" t="s">
        <v>407</v>
      </c>
    </row>
    <row r="3514" spans="1:1">
      <c r="A3514" s="22">
        <v>2</v>
      </c>
    </row>
    <row r="3516" spans="1:1">
      <c r="A3516" s="22" t="s">
        <v>1314</v>
      </c>
    </row>
    <row r="3518" spans="1:1">
      <c r="A3518" s="22" t="s">
        <v>712</v>
      </c>
    </row>
    <row r="3520" spans="1:1">
      <c r="A3520" s="19" t="s">
        <v>423</v>
      </c>
    </row>
    <row r="3522" spans="1:1">
      <c r="A3522" s="19" t="s">
        <v>424</v>
      </c>
    </row>
    <row r="3524" spans="1:1">
      <c r="A3524" s="22" t="s">
        <v>407</v>
      </c>
    </row>
    <row r="3526" spans="1:1">
      <c r="A3526" s="22">
        <v>2</v>
      </c>
    </row>
    <row r="3528" spans="1:1">
      <c r="A3528" s="22" t="s">
        <v>1315</v>
      </c>
    </row>
    <row r="3530" spans="1:1">
      <c r="A3530" s="22" t="s">
        <v>726</v>
      </c>
    </row>
    <row r="3532" spans="1:1">
      <c r="A3532" s="19" t="s">
        <v>423</v>
      </c>
    </row>
    <row r="3534" spans="1:1">
      <c r="A3534" s="19" t="s">
        <v>424</v>
      </c>
    </row>
    <row r="3536" spans="1:1">
      <c r="A3536" s="22" t="s">
        <v>407</v>
      </c>
    </row>
    <row r="3538" spans="1:1">
      <c r="A3538" s="22">
        <v>3</v>
      </c>
    </row>
    <row r="3540" spans="1:1">
      <c r="A3540" s="22" t="s">
        <v>1316</v>
      </c>
    </row>
    <row r="3542" spans="1:1">
      <c r="A3542" s="22" t="s">
        <v>873</v>
      </c>
    </row>
    <row r="3544" spans="1:1">
      <c r="A3544" s="19" t="s">
        <v>423</v>
      </c>
    </row>
    <row r="3546" spans="1:1">
      <c r="A3546" s="19" t="s">
        <v>424</v>
      </c>
    </row>
    <row r="3548" spans="1:1">
      <c r="A3548" s="22" t="s">
        <v>407</v>
      </c>
    </row>
    <row r="3550" spans="1:1">
      <c r="A3550" s="22">
        <v>3</v>
      </c>
    </row>
    <row r="3552" spans="1:1">
      <c r="A3552" s="22" t="s">
        <v>1317</v>
      </c>
    </row>
    <row r="3554" spans="1:1">
      <c r="A3554" s="22" t="s">
        <v>1090</v>
      </c>
    </row>
    <row r="3556" spans="1:1">
      <c r="A3556" s="19" t="s">
        <v>423</v>
      </c>
    </row>
    <row r="3558" spans="1:1">
      <c r="A3558" s="19" t="s">
        <v>424</v>
      </c>
    </row>
    <row r="3560" spans="1:1">
      <c r="A3560" s="22" t="s">
        <v>407</v>
      </c>
    </row>
    <row r="3562" spans="1:1">
      <c r="A3562" s="22">
        <v>3</v>
      </c>
    </row>
    <row r="3564" spans="1:1">
      <c r="A3564" s="22" t="s">
        <v>1318</v>
      </c>
    </row>
    <row r="3566" spans="1:1">
      <c r="A3566" s="22" t="s">
        <v>471</v>
      </c>
    </row>
    <row r="3568" spans="1:1">
      <c r="A3568" s="19" t="s">
        <v>423</v>
      </c>
    </row>
    <row r="3570" spans="1:1">
      <c r="A3570" s="19" t="s">
        <v>424</v>
      </c>
    </row>
    <row r="3572" spans="1:1">
      <c r="A3572" s="22" t="s">
        <v>407</v>
      </c>
    </row>
    <row r="3574" spans="1:1">
      <c r="A3574" s="22">
        <v>3</v>
      </c>
    </row>
    <row r="3576" spans="1:1">
      <c r="A3576" s="22" t="s">
        <v>1319</v>
      </c>
    </row>
    <row r="3578" spans="1:1">
      <c r="A3578" s="22" t="s">
        <v>471</v>
      </c>
    </row>
    <row r="3580" spans="1:1">
      <c r="A3580" s="19" t="s">
        <v>423</v>
      </c>
    </row>
    <row r="3582" spans="1:1">
      <c r="A3582" s="19" t="s">
        <v>424</v>
      </c>
    </row>
    <row r="3584" spans="1:1">
      <c r="A3584" s="22" t="s">
        <v>407</v>
      </c>
    </row>
    <row r="3586" spans="1:1">
      <c r="A3586" s="22">
        <v>3</v>
      </c>
    </row>
    <row r="3588" spans="1:1">
      <c r="A3588" s="19" t="s">
        <v>821</v>
      </c>
    </row>
    <row r="3590" spans="1:1">
      <c r="A3590" s="22" t="s">
        <v>133</v>
      </c>
    </row>
    <row r="3591" spans="1:1">
      <c r="A3591" s="22" t="s">
        <v>131</v>
      </c>
    </row>
    <row r="3592" spans="1:1">
      <c r="A3592" s="22" t="s">
        <v>389</v>
      </c>
    </row>
    <row r="3594" spans="1:1">
      <c r="A3594" s="19" t="s">
        <v>400</v>
      </c>
    </row>
    <row r="3596" spans="1:1">
      <c r="A3596" s="19" t="s">
        <v>1019</v>
      </c>
    </row>
    <row r="3598" spans="1:1">
      <c r="A3598" s="22" t="s">
        <v>1028</v>
      </c>
    </row>
    <row r="3600" spans="1:1">
      <c r="A3600" s="22" t="s">
        <v>1320</v>
      </c>
    </row>
    <row r="3602" spans="1:1">
      <c r="A3602" s="22" t="s">
        <v>526</v>
      </c>
    </row>
    <row r="3604" spans="1:1">
      <c r="A3604" s="19" t="s">
        <v>406</v>
      </c>
    </row>
    <row r="3606" spans="1:1">
      <c r="A3606" s="22" t="s">
        <v>407</v>
      </c>
    </row>
    <row r="3608" spans="1:1">
      <c r="A3608" s="22">
        <v>2</v>
      </c>
    </row>
    <row r="3610" spans="1:1">
      <c r="A3610" s="22" t="s">
        <v>1321</v>
      </c>
    </row>
    <row r="3612" spans="1:1">
      <c r="A3612" s="22" t="s">
        <v>780</v>
      </c>
    </row>
    <row r="3614" spans="1:1">
      <c r="A3614" s="19" t="s">
        <v>423</v>
      </c>
    </row>
    <row r="3616" spans="1:1">
      <c r="A3616" s="19" t="s">
        <v>424</v>
      </c>
    </row>
    <row r="3618" spans="1:1">
      <c r="A3618" s="22" t="s">
        <v>407</v>
      </c>
    </row>
    <row r="3620" spans="1:1">
      <c r="A3620" s="22">
        <v>2</v>
      </c>
    </row>
    <row r="3622" spans="1:1">
      <c r="A3622" s="22" t="s">
        <v>1322</v>
      </c>
    </row>
    <row r="3624" spans="1:1">
      <c r="A3624" s="22" t="s">
        <v>528</v>
      </c>
    </row>
    <row r="3626" spans="1:1">
      <c r="A3626" s="19" t="s">
        <v>423</v>
      </c>
    </row>
    <row r="3628" spans="1:1">
      <c r="A3628" s="19" t="s">
        <v>424</v>
      </c>
    </row>
    <row r="3630" spans="1:1">
      <c r="A3630" s="22" t="s">
        <v>407</v>
      </c>
    </row>
    <row r="3632" spans="1:1">
      <c r="A3632" s="22">
        <v>2</v>
      </c>
    </row>
    <row r="3634" spans="1:1">
      <c r="A3634" s="22" t="s">
        <v>1323</v>
      </c>
    </row>
    <row r="3636" spans="1:1">
      <c r="A3636" s="22" t="s">
        <v>871</v>
      </c>
    </row>
    <row r="3638" spans="1:1">
      <c r="A3638" s="19" t="s">
        <v>423</v>
      </c>
    </row>
    <row r="3640" spans="1:1">
      <c r="A3640" s="19" t="s">
        <v>424</v>
      </c>
    </row>
    <row r="3642" spans="1:1">
      <c r="A3642" s="22" t="s">
        <v>407</v>
      </c>
    </row>
    <row r="3644" spans="1:1">
      <c r="A3644" s="22">
        <v>2</v>
      </c>
    </row>
    <row r="3646" spans="1:1">
      <c r="A3646" s="22" t="s">
        <v>1324</v>
      </c>
    </row>
    <row r="3648" spans="1:1">
      <c r="A3648" s="22" t="s">
        <v>432</v>
      </c>
    </row>
    <row r="3650" spans="1:1">
      <c r="A3650" s="19" t="s">
        <v>423</v>
      </c>
    </row>
    <row r="3652" spans="1:1">
      <c r="A3652" s="19" t="s">
        <v>424</v>
      </c>
    </row>
    <row r="3654" spans="1:1">
      <c r="A3654" s="22" t="s">
        <v>407</v>
      </c>
    </row>
    <row r="3656" spans="1:1">
      <c r="A3656" s="22">
        <v>3</v>
      </c>
    </row>
    <row r="3658" spans="1:1">
      <c r="A3658" s="22" t="s">
        <v>1325</v>
      </c>
    </row>
    <row r="3660" spans="1:1">
      <c r="A3660" s="22" t="s">
        <v>456</v>
      </c>
    </row>
    <row r="3662" spans="1:1">
      <c r="A3662" s="19" t="s">
        <v>423</v>
      </c>
    </row>
    <row r="3664" spans="1:1">
      <c r="A3664" s="19" t="s">
        <v>424</v>
      </c>
    </row>
    <row r="3666" spans="1:1">
      <c r="A3666" s="22" t="s">
        <v>407</v>
      </c>
    </row>
    <row r="3668" spans="1:1">
      <c r="A3668" s="22">
        <v>3</v>
      </c>
    </row>
    <row r="3670" spans="1:1">
      <c r="A3670" s="22" t="s">
        <v>1326</v>
      </c>
    </row>
    <row r="3672" spans="1:1">
      <c r="A3672" s="22" t="s">
        <v>788</v>
      </c>
    </row>
    <row r="3674" spans="1:1">
      <c r="A3674" s="19" t="s">
        <v>423</v>
      </c>
    </row>
    <row r="3676" spans="1:1">
      <c r="A3676" s="19" t="s">
        <v>424</v>
      </c>
    </row>
    <row r="3678" spans="1:1">
      <c r="A3678" s="22" t="s">
        <v>407</v>
      </c>
    </row>
    <row r="3680" spans="1:1">
      <c r="A3680" s="22">
        <v>3</v>
      </c>
    </row>
    <row r="3682" spans="1:1">
      <c r="A3682" s="22" t="s">
        <v>1327</v>
      </c>
    </row>
    <row r="3684" spans="1:1">
      <c r="A3684" s="22" t="s">
        <v>1124</v>
      </c>
    </row>
    <row r="3686" spans="1:1">
      <c r="A3686" s="19" t="s">
        <v>423</v>
      </c>
    </row>
    <row r="3688" spans="1:1">
      <c r="A3688" s="19" t="s">
        <v>424</v>
      </c>
    </row>
    <row r="3690" spans="1:1">
      <c r="A3690" s="22" t="s">
        <v>407</v>
      </c>
    </row>
    <row r="3692" spans="1:1">
      <c r="A3692" s="22">
        <v>2</v>
      </c>
    </row>
    <row r="3694" spans="1:1">
      <c r="A3694" s="19" t="s">
        <v>833</v>
      </c>
    </row>
    <row r="3696" spans="1:1">
      <c r="A3696" s="22" t="s">
        <v>133</v>
      </c>
    </row>
    <row r="3697" spans="1:1">
      <c r="A3697" s="22" t="s">
        <v>131</v>
      </c>
    </row>
    <row r="3698" spans="1:1">
      <c r="A3698" s="22" t="s">
        <v>389</v>
      </c>
    </row>
    <row r="3700" spans="1:1">
      <c r="A3700" s="19" t="s">
        <v>400</v>
      </c>
    </row>
    <row r="3702" spans="1:1">
      <c r="A3702" s="19" t="s">
        <v>1019</v>
      </c>
    </row>
    <row r="3704" spans="1:1">
      <c r="A3704" s="22" t="s">
        <v>1028</v>
      </c>
    </row>
    <row r="3706" spans="1:1">
      <c r="A3706" s="22" t="s">
        <v>1328</v>
      </c>
    </row>
    <row r="3708" spans="1:1">
      <c r="A3708" s="22" t="s">
        <v>1329</v>
      </c>
    </row>
    <row r="3710" spans="1:1">
      <c r="A3710" s="19" t="s">
        <v>406</v>
      </c>
    </row>
    <row r="3712" spans="1:1">
      <c r="A3712" s="22" t="s">
        <v>407</v>
      </c>
    </row>
    <row r="3714" spans="1:1">
      <c r="A3714" s="22">
        <v>2</v>
      </c>
    </row>
    <row r="3716" spans="1:1">
      <c r="A3716" s="22" t="s">
        <v>1330</v>
      </c>
    </row>
    <row r="3718" spans="1:1">
      <c r="A3718" s="22" t="s">
        <v>534</v>
      </c>
    </row>
    <row r="3720" spans="1:1">
      <c r="A3720" s="19" t="s">
        <v>423</v>
      </c>
    </row>
    <row r="3722" spans="1:1">
      <c r="A3722" s="19" t="s">
        <v>424</v>
      </c>
    </row>
    <row r="3724" spans="1:1">
      <c r="A3724" s="22" t="s">
        <v>407</v>
      </c>
    </row>
    <row r="3726" spans="1:1">
      <c r="A3726" s="22">
        <v>2</v>
      </c>
    </row>
    <row r="3728" spans="1:1">
      <c r="A3728" s="22" t="s">
        <v>1331</v>
      </c>
    </row>
    <row r="3730" spans="1:1">
      <c r="A3730" s="22" t="s">
        <v>735</v>
      </c>
    </row>
    <row r="3732" spans="1:1">
      <c r="A3732" s="19" t="s">
        <v>423</v>
      </c>
    </row>
    <row r="3734" spans="1:1">
      <c r="A3734" s="19" t="s">
        <v>424</v>
      </c>
    </row>
    <row r="3736" spans="1:1">
      <c r="A3736" s="22" t="s">
        <v>407</v>
      </c>
    </row>
    <row r="3738" spans="1:1">
      <c r="A3738" s="22">
        <v>2</v>
      </c>
    </row>
    <row r="3740" spans="1:1">
      <c r="A3740" s="22" t="s">
        <v>1332</v>
      </c>
    </row>
    <row r="3742" spans="1:1">
      <c r="A3742" s="22" t="s">
        <v>460</v>
      </c>
    </row>
    <row r="3744" spans="1:1">
      <c r="A3744" s="19" t="s">
        <v>423</v>
      </c>
    </row>
    <row r="3746" spans="1:1">
      <c r="A3746" s="19" t="s">
        <v>424</v>
      </c>
    </row>
    <row r="3748" spans="1:1">
      <c r="A3748" s="22" t="s">
        <v>407</v>
      </c>
    </row>
    <row r="3750" spans="1:1">
      <c r="A3750" s="22">
        <v>8</v>
      </c>
    </row>
    <row r="3752" spans="1:1">
      <c r="A3752" s="22" t="s">
        <v>1333</v>
      </c>
    </row>
    <row r="3754" spans="1:1">
      <c r="A3754" s="22" t="s">
        <v>460</v>
      </c>
    </row>
    <row r="3756" spans="1:1">
      <c r="A3756" s="19" t="s">
        <v>423</v>
      </c>
    </row>
    <row r="3758" spans="1:1">
      <c r="A3758" s="19" t="s">
        <v>424</v>
      </c>
    </row>
    <row r="3760" spans="1:1">
      <c r="A3760" s="22" t="s">
        <v>407</v>
      </c>
    </row>
    <row r="3762" spans="1:1">
      <c r="A3762" s="22">
        <v>6</v>
      </c>
    </row>
    <row r="3764" spans="1:1">
      <c r="A3764" s="22" t="s">
        <v>1334</v>
      </c>
    </row>
    <row r="3766" spans="1:1">
      <c r="A3766" s="22" t="s">
        <v>460</v>
      </c>
    </row>
    <row r="3768" spans="1:1">
      <c r="A3768" s="19" t="s">
        <v>423</v>
      </c>
    </row>
    <row r="3770" spans="1:1">
      <c r="A3770" s="19" t="s">
        <v>424</v>
      </c>
    </row>
    <row r="3772" spans="1:1">
      <c r="A3772" s="22" t="s">
        <v>407</v>
      </c>
    </row>
    <row r="3774" spans="1:1">
      <c r="A3774" s="22">
        <v>6</v>
      </c>
    </row>
    <row r="3776" spans="1:1">
      <c r="A3776" s="22" t="s">
        <v>1335</v>
      </c>
    </row>
    <row r="3778" spans="1:1">
      <c r="A3778" s="22" t="s">
        <v>1248</v>
      </c>
    </row>
    <row r="3780" spans="1:1">
      <c r="A3780" s="19" t="s">
        <v>423</v>
      </c>
    </row>
    <row r="3782" spans="1:1">
      <c r="A3782" s="19" t="s">
        <v>424</v>
      </c>
    </row>
    <row r="3784" spans="1:1">
      <c r="A3784" s="22" t="s">
        <v>407</v>
      </c>
    </row>
    <row r="3786" spans="1:1">
      <c r="A3786" s="22">
        <v>3</v>
      </c>
    </row>
    <row r="3788" spans="1:1">
      <c r="A3788" s="22" t="s">
        <v>1336</v>
      </c>
    </row>
    <row r="3790" spans="1:1">
      <c r="A3790" s="22" t="s">
        <v>538</v>
      </c>
    </row>
    <row r="3792" spans="1:1">
      <c r="A3792" s="19" t="s">
        <v>423</v>
      </c>
    </row>
    <row r="3794" spans="1:1">
      <c r="A3794" s="19" t="s">
        <v>424</v>
      </c>
    </row>
    <row r="3796" spans="1:1">
      <c r="A3796" s="22" t="s">
        <v>407</v>
      </c>
    </row>
    <row r="3798" spans="1:1">
      <c r="A3798" s="22">
        <v>2</v>
      </c>
    </row>
    <row r="3800" spans="1:1">
      <c r="A3800" s="19" t="s">
        <v>846</v>
      </c>
    </row>
    <row r="3802" spans="1:1">
      <c r="A3802" s="22" t="s">
        <v>133</v>
      </c>
    </row>
    <row r="3803" spans="1:1">
      <c r="A3803" s="22" t="s">
        <v>131</v>
      </c>
    </row>
    <row r="3804" spans="1:1">
      <c r="A3804" s="22" t="s">
        <v>389</v>
      </c>
    </row>
    <row r="3806" spans="1:1">
      <c r="A3806" s="19" t="s">
        <v>400</v>
      </c>
    </row>
    <row r="3808" spans="1:1">
      <c r="A3808" s="19" t="s">
        <v>1019</v>
      </c>
    </row>
    <row r="3810" spans="1:1">
      <c r="A3810" s="22" t="s">
        <v>1028</v>
      </c>
    </row>
    <row r="3812" spans="1:1">
      <c r="A3812" s="22" t="s">
        <v>1337</v>
      </c>
    </row>
    <row r="3814" spans="1:1">
      <c r="A3814" s="22" t="s">
        <v>485</v>
      </c>
    </row>
    <row r="3816" spans="1:1">
      <c r="A3816" s="19" t="s">
        <v>406</v>
      </c>
    </row>
    <row r="3818" spans="1:1">
      <c r="A3818" s="22" t="s">
        <v>407</v>
      </c>
    </row>
    <row r="3820" spans="1:1">
      <c r="A3820" s="22">
        <v>2</v>
      </c>
    </row>
    <row r="3822" spans="1:1">
      <c r="A3822" s="22" t="s">
        <v>1338</v>
      </c>
    </row>
    <row r="3824" spans="1:1">
      <c r="A3824" s="22" t="s">
        <v>641</v>
      </c>
    </row>
    <row r="3826" spans="1:1">
      <c r="A3826" s="19" t="s">
        <v>423</v>
      </c>
    </row>
    <row r="3828" spans="1:1">
      <c r="A3828" s="19" t="s">
        <v>424</v>
      </c>
    </row>
    <row r="3830" spans="1:1">
      <c r="A3830" s="22" t="s">
        <v>407</v>
      </c>
    </row>
    <row r="3832" spans="1:1">
      <c r="A3832" s="22">
        <v>2</v>
      </c>
    </row>
    <row r="3834" spans="1:1">
      <c r="A3834" s="22" t="s">
        <v>1339</v>
      </c>
    </row>
    <row r="3836" spans="1:1">
      <c r="A3836" s="22" t="s">
        <v>458</v>
      </c>
    </row>
    <row r="3838" spans="1:1">
      <c r="A3838" s="19" t="s">
        <v>423</v>
      </c>
    </row>
    <row r="3840" spans="1:1">
      <c r="A3840" s="19" t="s">
        <v>424</v>
      </c>
    </row>
    <row r="3842" spans="1:1">
      <c r="A3842" s="22" t="s">
        <v>407</v>
      </c>
    </row>
    <row r="3844" spans="1:1">
      <c r="A3844" s="22">
        <v>4</v>
      </c>
    </row>
    <row r="3846" spans="1:1">
      <c r="A3846" s="22" t="s">
        <v>1340</v>
      </c>
    </row>
    <row r="3848" spans="1:1">
      <c r="A3848" s="22" t="s">
        <v>741</v>
      </c>
    </row>
    <row r="3850" spans="1:1">
      <c r="A3850" s="19" t="s">
        <v>423</v>
      </c>
    </row>
    <row r="3852" spans="1:1">
      <c r="A3852" s="19" t="s">
        <v>424</v>
      </c>
    </row>
    <row r="3854" spans="1:1">
      <c r="A3854" s="22" t="s">
        <v>407</v>
      </c>
    </row>
    <row r="3856" spans="1:1">
      <c r="A3856" s="22">
        <v>3</v>
      </c>
    </row>
    <row r="3858" spans="1:1">
      <c r="A3858" s="22" t="s">
        <v>1341</v>
      </c>
    </row>
    <row r="3860" spans="1:1">
      <c r="A3860" s="22" t="s">
        <v>741</v>
      </c>
    </row>
    <row r="3862" spans="1:1">
      <c r="A3862" s="19" t="s">
        <v>423</v>
      </c>
    </row>
    <row r="3864" spans="1:1">
      <c r="A3864" s="19" t="s">
        <v>424</v>
      </c>
    </row>
    <row r="3866" spans="1:1">
      <c r="A3866" s="22" t="s">
        <v>407</v>
      </c>
    </row>
    <row r="3868" spans="1:1">
      <c r="A3868" s="22">
        <v>3</v>
      </c>
    </row>
    <row r="3870" spans="1:1">
      <c r="A3870" s="22" t="s">
        <v>1342</v>
      </c>
    </row>
    <row r="3872" spans="1:1">
      <c r="A3872" s="22" t="s">
        <v>542</v>
      </c>
    </row>
    <row r="3874" spans="1:1">
      <c r="A3874" s="19" t="s">
        <v>423</v>
      </c>
    </row>
    <row r="3876" spans="1:1">
      <c r="A3876" s="19" t="s">
        <v>424</v>
      </c>
    </row>
    <row r="3878" spans="1:1">
      <c r="A3878" s="22" t="s">
        <v>407</v>
      </c>
    </row>
    <row r="3880" spans="1:1">
      <c r="A3880" s="22">
        <v>3</v>
      </c>
    </row>
    <row r="3882" spans="1:1">
      <c r="A3882" s="22" t="s">
        <v>1343</v>
      </c>
    </row>
    <row r="3884" spans="1:1">
      <c r="A3884" s="22" t="s">
        <v>523</v>
      </c>
    </row>
    <row r="3886" spans="1:1">
      <c r="A3886" s="19" t="s">
        <v>423</v>
      </c>
    </row>
    <row r="3888" spans="1:1">
      <c r="A3888" s="19" t="s">
        <v>424</v>
      </c>
    </row>
    <row r="3890" spans="1:1">
      <c r="A3890" s="22" t="s">
        <v>407</v>
      </c>
    </row>
    <row r="3892" spans="1:1">
      <c r="A3892" s="22">
        <v>3</v>
      </c>
    </row>
    <row r="3894" spans="1:1">
      <c r="A3894" s="22" t="s">
        <v>1344</v>
      </c>
    </row>
    <row r="3896" spans="1:1">
      <c r="A3896" s="22" t="s">
        <v>770</v>
      </c>
    </row>
    <row r="3898" spans="1:1">
      <c r="A3898" s="19" t="s">
        <v>423</v>
      </c>
    </row>
    <row r="3900" spans="1:1">
      <c r="A3900" s="19" t="s">
        <v>424</v>
      </c>
    </row>
    <row r="3902" spans="1:1">
      <c r="A3902" s="22" t="s">
        <v>407</v>
      </c>
    </row>
    <row r="3904" spans="1:1">
      <c r="A3904" s="22">
        <v>2</v>
      </c>
    </row>
    <row r="3906" spans="1:1">
      <c r="A3906" s="19" t="s">
        <v>856</v>
      </c>
    </row>
    <row r="3908" spans="1:1">
      <c r="A3908" s="22" t="s">
        <v>133</v>
      </c>
    </row>
    <row r="3909" spans="1:1">
      <c r="A3909" s="22" t="s">
        <v>131</v>
      </c>
    </row>
    <row r="3910" spans="1:1">
      <c r="A3910" s="22" t="s">
        <v>389</v>
      </c>
    </row>
    <row r="3912" spans="1:1">
      <c r="A3912" s="19" t="s">
        <v>400</v>
      </c>
    </row>
    <row r="3914" spans="1:1">
      <c r="A3914" s="19" t="s">
        <v>1019</v>
      </c>
    </row>
    <row r="3916" spans="1:1">
      <c r="A3916" s="22" t="s">
        <v>1028</v>
      </c>
    </row>
    <row r="3918" spans="1:1">
      <c r="A3918" s="22" t="s">
        <v>1345</v>
      </c>
    </row>
    <row r="3920" spans="1:1">
      <c r="A3920" s="22" t="s">
        <v>550</v>
      </c>
    </row>
    <row r="3922" spans="1:1">
      <c r="A3922" s="19" t="s">
        <v>406</v>
      </c>
    </row>
    <row r="3924" spans="1:1">
      <c r="A3924" s="22" t="s">
        <v>407</v>
      </c>
    </row>
    <row r="3926" spans="1:1">
      <c r="A3926" s="22">
        <v>2</v>
      </c>
    </row>
    <row r="3928" spans="1:1">
      <c r="A3928" s="22" t="s">
        <v>1346</v>
      </c>
    </row>
    <row r="3930" spans="1:1">
      <c r="A3930" s="22" t="s">
        <v>1347</v>
      </c>
    </row>
    <row r="3932" spans="1:1">
      <c r="A3932" s="19" t="s">
        <v>423</v>
      </c>
    </row>
    <row r="3934" spans="1:1">
      <c r="A3934" s="19" t="s">
        <v>424</v>
      </c>
    </row>
    <row r="3936" spans="1:1">
      <c r="A3936" s="22" t="s">
        <v>407</v>
      </c>
    </row>
    <row r="3938" spans="1:1">
      <c r="A3938" s="22">
        <v>4</v>
      </c>
    </row>
    <row r="3940" spans="1:1">
      <c r="A3940" s="22" t="s">
        <v>1348</v>
      </c>
    </row>
    <row r="3942" spans="1:1">
      <c r="A3942" s="22" t="s">
        <v>652</v>
      </c>
    </row>
    <row r="3944" spans="1:1">
      <c r="A3944" s="19" t="s">
        <v>423</v>
      </c>
    </row>
    <row r="3946" spans="1:1">
      <c r="A3946" s="19" t="s">
        <v>424</v>
      </c>
    </row>
    <row r="3948" spans="1:1">
      <c r="A3948" s="22" t="s">
        <v>407</v>
      </c>
    </row>
    <row r="3950" spans="1:1">
      <c r="A3950" s="22">
        <v>2</v>
      </c>
    </row>
    <row r="3952" spans="1:1">
      <c r="A3952" s="22" t="s">
        <v>1349</v>
      </c>
    </row>
    <row r="3954" spans="1:1">
      <c r="A3954" s="22" t="s">
        <v>409</v>
      </c>
    </row>
    <row r="3956" spans="1:1">
      <c r="A3956" s="19" t="s">
        <v>423</v>
      </c>
    </row>
    <row r="3958" spans="1:1">
      <c r="A3958" s="19" t="s">
        <v>424</v>
      </c>
    </row>
    <row r="3960" spans="1:1">
      <c r="A3960" s="22" t="s">
        <v>407</v>
      </c>
    </row>
    <row r="3962" spans="1:1">
      <c r="A3962" s="22">
        <v>2</v>
      </c>
    </row>
    <row r="3964" spans="1:1">
      <c r="A3964" s="22" t="s">
        <v>1350</v>
      </c>
    </row>
    <row r="3966" spans="1:1">
      <c r="A3966" s="22" t="s">
        <v>557</v>
      </c>
    </row>
    <row r="3968" spans="1:1">
      <c r="A3968" s="19" t="s">
        <v>423</v>
      </c>
    </row>
    <row r="3970" spans="1:1">
      <c r="A3970" s="19" t="s">
        <v>424</v>
      </c>
    </row>
    <row r="3972" spans="1:1">
      <c r="A3972" s="22" t="s">
        <v>407</v>
      </c>
    </row>
    <row r="3974" spans="1:1">
      <c r="A3974" s="22">
        <v>2</v>
      </c>
    </row>
    <row r="3976" spans="1:1">
      <c r="A3976" s="22" t="s">
        <v>1351</v>
      </c>
    </row>
    <row r="3978" spans="1:1">
      <c r="A3978" s="22" t="s">
        <v>560</v>
      </c>
    </row>
    <row r="3980" spans="1:1">
      <c r="A3980" s="19" t="s">
        <v>423</v>
      </c>
    </row>
    <row r="3982" spans="1:1">
      <c r="A3982" s="19" t="s">
        <v>424</v>
      </c>
    </row>
    <row r="3984" spans="1:1">
      <c r="A3984" s="22" t="s">
        <v>407</v>
      </c>
    </row>
    <row r="3986" spans="1:1">
      <c r="A3986" s="22">
        <v>3</v>
      </c>
    </row>
    <row r="3988" spans="1:1">
      <c r="A3988" s="22" t="s">
        <v>1352</v>
      </c>
    </row>
    <row r="3990" spans="1:1">
      <c r="A3990" s="22" t="s">
        <v>679</v>
      </c>
    </row>
    <row r="3992" spans="1:1">
      <c r="A3992" s="19" t="s">
        <v>423</v>
      </c>
    </row>
    <row r="3994" spans="1:1">
      <c r="A3994" s="19" t="s">
        <v>424</v>
      </c>
    </row>
    <row r="3996" spans="1:1">
      <c r="A3996" s="22" t="s">
        <v>407</v>
      </c>
    </row>
    <row r="3998" spans="1:1">
      <c r="A3998" s="22">
        <v>2</v>
      </c>
    </row>
    <row r="4000" spans="1:1">
      <c r="A4000" s="22" t="s">
        <v>1353</v>
      </c>
    </row>
    <row r="4002" spans="1:1">
      <c r="A4002" s="22" t="s">
        <v>422</v>
      </c>
    </row>
    <row r="4004" spans="1:1">
      <c r="A4004" s="19" t="s">
        <v>423</v>
      </c>
    </row>
    <row r="4006" spans="1:1">
      <c r="A4006" s="19" t="s">
        <v>424</v>
      </c>
    </row>
    <row r="4008" spans="1:1">
      <c r="A4008" s="22" t="s">
        <v>407</v>
      </c>
    </row>
    <row r="4010" spans="1:1">
      <c r="A4010" s="22">
        <v>1</v>
      </c>
    </row>
    <row r="4012" spans="1:1">
      <c r="A4012" s="19" t="s">
        <v>865</v>
      </c>
    </row>
    <row r="4014" spans="1:1">
      <c r="A4014" s="22" t="s">
        <v>133</v>
      </c>
    </row>
    <row r="4015" spans="1:1">
      <c r="A4015" s="22" t="s">
        <v>131</v>
      </c>
    </row>
    <row r="4016" spans="1:1">
      <c r="A4016" s="22" t="s">
        <v>389</v>
      </c>
    </row>
    <row r="4018" spans="1:1">
      <c r="A4018" s="19" t="s">
        <v>400</v>
      </c>
    </row>
    <row r="4020" spans="1:1">
      <c r="A4020" s="19" t="s">
        <v>1019</v>
      </c>
    </row>
    <row r="4022" spans="1:1">
      <c r="A4022" s="22" t="s">
        <v>1028</v>
      </c>
    </row>
    <row r="4024" spans="1:1">
      <c r="A4024" s="22" t="s">
        <v>1354</v>
      </c>
    </row>
    <row r="4026" spans="1:1">
      <c r="A4026" s="22" t="s">
        <v>430</v>
      </c>
    </row>
    <row r="4028" spans="1:1">
      <c r="A4028" s="19" t="s">
        <v>406</v>
      </c>
    </row>
    <row r="4030" spans="1:1">
      <c r="A4030" s="22" t="s">
        <v>407</v>
      </c>
    </row>
    <row r="4032" spans="1:1">
      <c r="A4032" s="22">
        <v>1</v>
      </c>
    </row>
    <row r="4034" spans="1:1">
      <c r="A4034" s="22" t="s">
        <v>1355</v>
      </c>
    </row>
    <row r="4036" spans="1:1">
      <c r="A4036" s="22" t="s">
        <v>428</v>
      </c>
    </row>
    <row r="4038" spans="1:1">
      <c r="A4038" s="19" t="s">
        <v>423</v>
      </c>
    </row>
    <row r="4040" spans="1:1">
      <c r="A4040" s="19" t="s">
        <v>424</v>
      </c>
    </row>
    <row r="4042" spans="1:1">
      <c r="A4042" s="22" t="s">
        <v>407</v>
      </c>
    </row>
    <row r="4044" spans="1:1">
      <c r="A4044" s="22">
        <v>2</v>
      </c>
    </row>
    <row r="4046" spans="1:1">
      <c r="A4046" s="22" t="s">
        <v>1356</v>
      </c>
    </row>
    <row r="4048" spans="1:1">
      <c r="A4048" s="22" t="s">
        <v>422</v>
      </c>
    </row>
    <row r="4050" spans="1:1">
      <c r="A4050" s="19" t="s">
        <v>423</v>
      </c>
    </row>
    <row r="4052" spans="1:1">
      <c r="A4052" s="19" t="s">
        <v>424</v>
      </c>
    </row>
    <row r="4054" spans="1:1">
      <c r="A4054" s="22" t="s">
        <v>407</v>
      </c>
    </row>
    <row r="4056" spans="1:1">
      <c r="A4056" s="22">
        <v>2</v>
      </c>
    </row>
    <row r="4058" spans="1:1">
      <c r="A4058" s="22" t="s">
        <v>1357</v>
      </c>
    </row>
    <row r="4060" spans="1:1">
      <c r="A4060" s="22" t="s">
        <v>1096</v>
      </c>
    </row>
    <row r="4062" spans="1:1">
      <c r="A4062" s="19" t="s">
        <v>423</v>
      </c>
    </row>
    <row r="4064" spans="1:1">
      <c r="A4064" s="19" t="s">
        <v>424</v>
      </c>
    </row>
    <row r="4066" spans="1:1">
      <c r="A4066" s="22" t="s">
        <v>407</v>
      </c>
    </row>
    <row r="4068" spans="1:1">
      <c r="A4068" s="22">
        <v>3</v>
      </c>
    </row>
    <row r="4070" spans="1:1">
      <c r="A4070" s="22" t="s">
        <v>1358</v>
      </c>
    </row>
    <row r="4072" spans="1:1">
      <c r="A4072" s="22" t="s">
        <v>430</v>
      </c>
    </row>
    <row r="4074" spans="1:1">
      <c r="A4074" s="19" t="s">
        <v>423</v>
      </c>
    </row>
    <row r="4076" spans="1:1">
      <c r="A4076" s="19" t="s">
        <v>424</v>
      </c>
    </row>
    <row r="4078" spans="1:1">
      <c r="A4078" s="22" t="s">
        <v>407</v>
      </c>
    </row>
    <row r="4080" spans="1:1">
      <c r="A4080" s="22">
        <v>2</v>
      </c>
    </row>
    <row r="4082" spans="1:1">
      <c r="A4082" s="22" t="s">
        <v>1359</v>
      </c>
    </row>
    <row r="4084" spans="1:1">
      <c r="A4084" s="22" t="s">
        <v>1056</v>
      </c>
    </row>
    <row r="4086" spans="1:1">
      <c r="A4086" s="19" t="s">
        <v>423</v>
      </c>
    </row>
    <row r="4088" spans="1:1">
      <c r="A4088" s="19" t="s">
        <v>424</v>
      </c>
    </row>
    <row r="4090" spans="1:1">
      <c r="A4090" s="22" t="s">
        <v>407</v>
      </c>
    </row>
    <row r="4092" spans="1:1">
      <c r="A4092" s="22">
        <v>2</v>
      </c>
    </row>
    <row r="4094" spans="1:1">
      <c r="A4094" s="22" t="s">
        <v>1360</v>
      </c>
    </row>
    <row r="4096" spans="1:1">
      <c r="A4096" s="22" t="s">
        <v>428</v>
      </c>
    </row>
    <row r="4098" spans="1:1">
      <c r="A4098" s="19" t="s">
        <v>423</v>
      </c>
    </row>
    <row r="4100" spans="1:1">
      <c r="A4100" s="19" t="s">
        <v>424</v>
      </c>
    </row>
    <row r="4102" spans="1:1">
      <c r="A4102" s="22" t="s">
        <v>407</v>
      </c>
    </row>
    <row r="4104" spans="1:1">
      <c r="A4104" s="22">
        <v>3</v>
      </c>
    </row>
    <row r="4106" spans="1:1">
      <c r="A4106" s="22" t="s">
        <v>1361</v>
      </c>
    </row>
    <row r="4108" spans="1:1">
      <c r="A4108" s="22" t="s">
        <v>1092</v>
      </c>
    </row>
    <row r="4110" spans="1:1">
      <c r="A4110" s="19" t="s">
        <v>423</v>
      </c>
    </row>
    <row r="4112" spans="1:1">
      <c r="A4112" s="19" t="s">
        <v>424</v>
      </c>
    </row>
    <row r="4114" spans="1:1">
      <c r="A4114" s="22" t="s">
        <v>407</v>
      </c>
    </row>
    <row r="4116" spans="1:1">
      <c r="A4116" s="22">
        <v>2</v>
      </c>
    </row>
    <row r="4118" spans="1:1">
      <c r="A4118" s="19" t="s">
        <v>877</v>
      </c>
    </row>
    <row r="4120" spans="1:1">
      <c r="A4120" s="22" t="s">
        <v>133</v>
      </c>
    </row>
    <row r="4121" spans="1:1">
      <c r="A4121" s="22" t="s">
        <v>131</v>
      </c>
    </row>
    <row r="4122" spans="1:1">
      <c r="A4122" s="22" t="s">
        <v>389</v>
      </c>
    </row>
    <row r="4124" spans="1:1">
      <c r="A4124" s="19" t="s">
        <v>400</v>
      </c>
    </row>
    <row r="4126" spans="1:1">
      <c r="A4126" s="19" t="s">
        <v>1019</v>
      </c>
    </row>
    <row r="4128" spans="1:1">
      <c r="A4128" s="22" t="s">
        <v>1028</v>
      </c>
    </row>
    <row r="4130" spans="1:1">
      <c r="A4130" s="22" t="s">
        <v>1362</v>
      </c>
    </row>
    <row r="4132" spans="1:1">
      <c r="A4132" s="22" t="s">
        <v>418</v>
      </c>
    </row>
    <row r="4134" spans="1:1">
      <c r="A4134" s="19" t="s">
        <v>406</v>
      </c>
    </row>
    <row r="4136" spans="1:1">
      <c r="A4136" s="22" t="s">
        <v>407</v>
      </c>
    </row>
    <row r="4138" spans="1:1">
      <c r="A4138" s="22">
        <v>3</v>
      </c>
    </row>
    <row r="4140" spans="1:1">
      <c r="A4140" s="22" t="s">
        <v>1363</v>
      </c>
    </row>
    <row r="4142" spans="1:1">
      <c r="A4142" s="22" t="s">
        <v>495</v>
      </c>
    </row>
    <row r="4144" spans="1:1">
      <c r="A4144" s="19" t="s">
        <v>423</v>
      </c>
    </row>
    <row r="4146" spans="1:1">
      <c r="A4146" s="19" t="s">
        <v>424</v>
      </c>
    </row>
    <row r="4148" spans="1:1">
      <c r="A4148" s="22" t="s">
        <v>407</v>
      </c>
    </row>
    <row r="4150" spans="1:1">
      <c r="A4150" s="22">
        <v>6</v>
      </c>
    </row>
    <row r="4152" spans="1:1">
      <c r="A4152" s="22" t="s">
        <v>1364</v>
      </c>
    </row>
    <row r="4154" spans="1:1">
      <c r="A4154" s="22" t="s">
        <v>495</v>
      </c>
    </row>
    <row r="4156" spans="1:1">
      <c r="A4156" s="19" t="s">
        <v>423</v>
      </c>
    </row>
    <row r="4158" spans="1:1">
      <c r="A4158" s="19" t="s">
        <v>424</v>
      </c>
    </row>
    <row r="4160" spans="1:1">
      <c r="A4160" s="22" t="s">
        <v>407</v>
      </c>
    </row>
    <row r="4162" spans="1:1">
      <c r="A4162" s="22">
        <v>6</v>
      </c>
    </row>
    <row r="4164" spans="1:1">
      <c r="A4164" s="22" t="s">
        <v>1365</v>
      </c>
    </row>
    <row r="4166" spans="1:1">
      <c r="A4166" s="22" t="s">
        <v>444</v>
      </c>
    </row>
    <row r="4168" spans="1:1">
      <c r="A4168" s="19" t="s">
        <v>423</v>
      </c>
    </row>
    <row r="4170" spans="1:1">
      <c r="A4170" s="19" t="s">
        <v>424</v>
      </c>
    </row>
    <row r="4172" spans="1:1">
      <c r="A4172" s="22" t="s">
        <v>407</v>
      </c>
    </row>
    <row r="4174" spans="1:1">
      <c r="A4174" s="22">
        <v>6</v>
      </c>
    </row>
    <row r="4176" spans="1:1">
      <c r="A4176" s="22" t="s">
        <v>1366</v>
      </c>
    </row>
    <row r="4178" spans="1:1">
      <c r="A4178" s="22" t="s">
        <v>444</v>
      </c>
    </row>
    <row r="4180" spans="1:1">
      <c r="A4180" s="19" t="s">
        <v>423</v>
      </c>
    </row>
    <row r="4182" spans="1:1">
      <c r="A4182" s="19" t="s">
        <v>424</v>
      </c>
    </row>
    <row r="4184" spans="1:1">
      <c r="A4184" s="22" t="s">
        <v>407</v>
      </c>
    </row>
    <row r="4186" spans="1:1">
      <c r="A4186" s="22">
        <v>6</v>
      </c>
    </row>
    <row r="4188" spans="1:1">
      <c r="A4188" s="22" t="s">
        <v>1367</v>
      </c>
    </row>
    <row r="4190" spans="1:1">
      <c r="A4190" s="22" t="s">
        <v>548</v>
      </c>
    </row>
    <row r="4192" spans="1:1">
      <c r="A4192" s="19" t="s">
        <v>423</v>
      </c>
    </row>
    <row r="4194" spans="1:1">
      <c r="A4194" s="19" t="s">
        <v>424</v>
      </c>
    </row>
    <row r="4196" spans="1:1">
      <c r="A4196" s="22" t="s">
        <v>407</v>
      </c>
    </row>
    <row r="4198" spans="1:1">
      <c r="A4198" s="22">
        <v>6</v>
      </c>
    </row>
    <row r="4200" spans="1:1">
      <c r="A4200" s="22" t="s">
        <v>1368</v>
      </c>
    </row>
    <row r="4202" spans="1:1">
      <c r="A4202" s="22" t="s">
        <v>446</v>
      </c>
    </row>
    <row r="4204" spans="1:1">
      <c r="A4204" s="19" t="s">
        <v>423</v>
      </c>
    </row>
    <row r="4206" spans="1:1">
      <c r="A4206" s="19" t="s">
        <v>424</v>
      </c>
    </row>
    <row r="4208" spans="1:1">
      <c r="A4208" s="22" t="s">
        <v>407</v>
      </c>
    </row>
    <row r="4210" spans="1:1">
      <c r="A4210" s="22">
        <v>2</v>
      </c>
    </row>
    <row r="4212" spans="1:1">
      <c r="A4212" s="22" t="s">
        <v>1369</v>
      </c>
    </row>
    <row r="4214" spans="1:1">
      <c r="A4214" s="22" t="s">
        <v>591</v>
      </c>
    </row>
    <row r="4216" spans="1:1">
      <c r="A4216" s="19" t="s">
        <v>423</v>
      </c>
    </row>
    <row r="4218" spans="1:1">
      <c r="A4218" s="19" t="s">
        <v>424</v>
      </c>
    </row>
    <row r="4220" spans="1:1">
      <c r="A4220" s="22" t="s">
        <v>407</v>
      </c>
    </row>
    <row r="4222" spans="1:1">
      <c r="A4222" s="22">
        <v>2</v>
      </c>
    </row>
    <row r="4224" spans="1:1">
      <c r="A4224" s="19" t="s">
        <v>889</v>
      </c>
    </row>
    <row r="4226" spans="1:1">
      <c r="A4226" s="22" t="s">
        <v>133</v>
      </c>
    </row>
    <row r="4227" spans="1:1">
      <c r="A4227" s="22" t="s">
        <v>131</v>
      </c>
    </row>
    <row r="4228" spans="1:1">
      <c r="A4228" s="22" t="s">
        <v>389</v>
      </c>
    </row>
    <row r="4230" spans="1:1">
      <c r="A4230" s="19" t="s">
        <v>400</v>
      </c>
    </row>
    <row r="4232" spans="1:1">
      <c r="A4232" s="19" t="s">
        <v>1019</v>
      </c>
    </row>
    <row r="4234" spans="1:1">
      <c r="A4234" s="22" t="s">
        <v>1028</v>
      </c>
    </row>
    <row r="4236" spans="1:1">
      <c r="A4236" s="22" t="s">
        <v>1370</v>
      </c>
    </row>
    <row r="4238" spans="1:1">
      <c r="A4238" s="22" t="s">
        <v>1371</v>
      </c>
    </row>
    <row r="4240" spans="1:1">
      <c r="A4240" s="19" t="s">
        <v>406</v>
      </c>
    </row>
    <row r="4242" spans="1:1">
      <c r="A4242" s="22" t="s">
        <v>407</v>
      </c>
    </row>
    <row r="4244" spans="1:1">
      <c r="A4244" s="22">
        <v>2</v>
      </c>
    </row>
    <row r="4246" spans="1:1">
      <c r="A4246" s="22" t="s">
        <v>1372</v>
      </c>
    </row>
    <row r="4248" spans="1:1">
      <c r="A4248" s="22" t="s">
        <v>595</v>
      </c>
    </row>
    <row r="4250" spans="1:1">
      <c r="A4250" s="19" t="s">
        <v>423</v>
      </c>
    </row>
    <row r="4252" spans="1:1">
      <c r="A4252" s="19" t="s">
        <v>424</v>
      </c>
    </row>
    <row r="4254" spans="1:1">
      <c r="A4254" s="22" t="s">
        <v>407</v>
      </c>
    </row>
    <row r="4256" spans="1:1">
      <c r="A4256" s="22">
        <v>2</v>
      </c>
    </row>
    <row r="4258" spans="1:1">
      <c r="A4258" s="22" t="s">
        <v>1373</v>
      </c>
    </row>
    <row r="4260" spans="1:1">
      <c r="A4260" s="22" t="s">
        <v>438</v>
      </c>
    </row>
    <row r="4262" spans="1:1">
      <c r="A4262" s="19" t="s">
        <v>423</v>
      </c>
    </row>
    <row r="4264" spans="1:1">
      <c r="A4264" s="19" t="s">
        <v>424</v>
      </c>
    </row>
    <row r="4266" spans="1:1">
      <c r="A4266" s="22" t="s">
        <v>407</v>
      </c>
    </row>
    <row r="4268" spans="1:1">
      <c r="A4268" s="22">
        <v>2</v>
      </c>
    </row>
    <row r="4270" spans="1:1">
      <c r="A4270" s="22" t="s">
        <v>1374</v>
      </c>
    </row>
    <row r="4272" spans="1:1">
      <c r="A4272" s="22" t="s">
        <v>436</v>
      </c>
    </row>
    <row r="4274" spans="1:1">
      <c r="A4274" s="19" t="s">
        <v>423</v>
      </c>
    </row>
    <row r="4276" spans="1:1">
      <c r="A4276" s="19" t="s">
        <v>424</v>
      </c>
    </row>
    <row r="4278" spans="1:1">
      <c r="A4278" s="22" t="s">
        <v>407</v>
      </c>
    </row>
    <row r="4280" spans="1:1">
      <c r="A4280" s="22">
        <v>3</v>
      </c>
    </row>
    <row r="4282" spans="1:1">
      <c r="A4282" s="22" t="s">
        <v>1375</v>
      </c>
    </row>
    <row r="4284" spans="1:1">
      <c r="A4284" s="22" t="s">
        <v>1376</v>
      </c>
    </row>
    <row r="4286" spans="1:1">
      <c r="A4286" s="19" t="s">
        <v>423</v>
      </c>
    </row>
    <row r="4288" spans="1:1">
      <c r="A4288" s="19" t="s">
        <v>424</v>
      </c>
    </row>
    <row r="4290" spans="1:1">
      <c r="A4290" s="22" t="s">
        <v>407</v>
      </c>
    </row>
    <row r="4292" spans="1:1">
      <c r="A4292" s="22">
        <v>2</v>
      </c>
    </row>
    <row r="4294" spans="1:1">
      <c r="A4294" s="22" t="s">
        <v>1377</v>
      </c>
    </row>
    <row r="4296" spans="1:1">
      <c r="A4296" s="22" t="s">
        <v>471</v>
      </c>
    </row>
    <row r="4298" spans="1:1">
      <c r="A4298" s="19" t="s">
        <v>423</v>
      </c>
    </row>
    <row r="4300" spans="1:1">
      <c r="A4300" s="19" t="s">
        <v>424</v>
      </c>
    </row>
    <row r="4302" spans="1:1">
      <c r="A4302" s="22" t="s">
        <v>407</v>
      </c>
    </row>
    <row r="4304" spans="1:1">
      <c r="A4304" s="22">
        <v>3</v>
      </c>
    </row>
    <row r="4306" spans="1:1">
      <c r="A4306" s="22" t="s">
        <v>1378</v>
      </c>
    </row>
    <row r="4308" spans="1:1">
      <c r="A4308" s="22" t="s">
        <v>1096</v>
      </c>
    </row>
    <row r="4310" spans="1:1">
      <c r="A4310" s="19" t="s">
        <v>423</v>
      </c>
    </row>
    <row r="4312" spans="1:1">
      <c r="A4312" s="19" t="s">
        <v>424</v>
      </c>
    </row>
    <row r="4314" spans="1:1">
      <c r="A4314" s="22" t="s">
        <v>407</v>
      </c>
    </row>
    <row r="4316" spans="1:1">
      <c r="A4316" s="22">
        <v>3</v>
      </c>
    </row>
    <row r="4318" spans="1:1">
      <c r="A4318" s="22" t="s">
        <v>1379</v>
      </c>
    </row>
    <row r="4320" spans="1:1">
      <c r="A4320" s="22" t="s">
        <v>409</v>
      </c>
    </row>
    <row r="4322" spans="1:1">
      <c r="A4322" s="19" t="s">
        <v>423</v>
      </c>
    </row>
    <row r="4324" spans="1:1">
      <c r="A4324" s="19" t="s">
        <v>424</v>
      </c>
    </row>
    <row r="4326" spans="1:1">
      <c r="A4326" s="22" t="s">
        <v>407</v>
      </c>
    </row>
    <row r="4328" spans="1:1">
      <c r="A4328" s="22">
        <v>2</v>
      </c>
    </row>
    <row r="4330" spans="1:1">
      <c r="A4330" s="19" t="s">
        <v>898</v>
      </c>
    </row>
    <row r="4332" spans="1:1">
      <c r="A4332" s="22" t="s">
        <v>133</v>
      </c>
    </row>
    <row r="4333" spans="1:1">
      <c r="A4333" s="22" t="s">
        <v>131</v>
      </c>
    </row>
    <row r="4334" spans="1:1">
      <c r="A4334" s="22" t="s">
        <v>389</v>
      </c>
    </row>
    <row r="4336" spans="1:1">
      <c r="A4336" s="19" t="s">
        <v>400</v>
      </c>
    </row>
    <row r="4338" spans="1:1">
      <c r="A4338" s="19" t="s">
        <v>1019</v>
      </c>
    </row>
    <row r="4340" spans="1:1">
      <c r="A4340" s="22" t="s">
        <v>1028</v>
      </c>
    </row>
    <row r="4342" spans="1:1">
      <c r="A4342" s="22" t="s">
        <v>1380</v>
      </c>
    </row>
    <row r="4344" spans="1:1">
      <c r="A4344" s="22" t="s">
        <v>517</v>
      </c>
    </row>
    <row r="4346" spans="1:1">
      <c r="A4346" s="19" t="s">
        <v>406</v>
      </c>
    </row>
    <row r="4348" spans="1:1">
      <c r="A4348" s="22" t="s">
        <v>407</v>
      </c>
    </row>
    <row r="4350" spans="1:1">
      <c r="A4350" s="22">
        <v>2</v>
      </c>
    </row>
    <row r="4352" spans="1:1">
      <c r="A4352" s="22" t="s">
        <v>1381</v>
      </c>
    </row>
    <row r="4354" spans="1:1">
      <c r="A4354" s="22" t="s">
        <v>935</v>
      </c>
    </row>
    <row r="4356" spans="1:1">
      <c r="A4356" s="19" t="s">
        <v>423</v>
      </c>
    </row>
    <row r="4358" spans="1:1">
      <c r="A4358" s="19" t="s">
        <v>424</v>
      </c>
    </row>
    <row r="4360" spans="1:1">
      <c r="A4360" s="22" t="s">
        <v>407</v>
      </c>
    </row>
    <row r="4362" spans="1:1">
      <c r="A4362" s="22">
        <v>2</v>
      </c>
    </row>
    <row r="4364" spans="1:1">
      <c r="A4364" s="22" t="s">
        <v>1382</v>
      </c>
    </row>
    <row r="4366" spans="1:1">
      <c r="A4366" s="22" t="s">
        <v>646</v>
      </c>
    </row>
    <row r="4368" spans="1:1">
      <c r="A4368" s="19" t="s">
        <v>423</v>
      </c>
    </row>
    <row r="4370" spans="1:1">
      <c r="A4370" s="19" t="s">
        <v>424</v>
      </c>
    </row>
    <row r="4372" spans="1:1">
      <c r="A4372" s="22" t="s">
        <v>407</v>
      </c>
    </row>
    <row r="4374" spans="1:1">
      <c r="A4374" s="22">
        <v>2</v>
      </c>
    </row>
    <row r="4376" spans="1:1">
      <c r="A4376" s="22" t="s">
        <v>1383</v>
      </c>
    </row>
    <row r="4378" spans="1:1">
      <c r="A4378" s="22" t="s">
        <v>879</v>
      </c>
    </row>
    <row r="4380" spans="1:1">
      <c r="A4380" s="19" t="s">
        <v>423</v>
      </c>
    </row>
    <row r="4382" spans="1:1">
      <c r="A4382" s="19" t="s">
        <v>424</v>
      </c>
    </row>
    <row r="4384" spans="1:1">
      <c r="A4384" s="22" t="s">
        <v>407</v>
      </c>
    </row>
    <row r="4386" spans="1:1">
      <c r="A4386" s="22">
        <v>2</v>
      </c>
    </row>
    <row r="4388" spans="1:1">
      <c r="A4388" s="22" t="s">
        <v>1384</v>
      </c>
    </row>
    <row r="4390" spans="1:1">
      <c r="A4390" s="22" t="s">
        <v>405</v>
      </c>
    </row>
    <row r="4392" spans="1:1">
      <c r="A4392" s="19" t="s">
        <v>423</v>
      </c>
    </row>
    <row r="4394" spans="1:1">
      <c r="A4394" s="19" t="s">
        <v>424</v>
      </c>
    </row>
    <row r="4396" spans="1:1">
      <c r="A4396" s="22" t="s">
        <v>407</v>
      </c>
    </row>
    <row r="4398" spans="1:1">
      <c r="A4398" s="22">
        <v>2</v>
      </c>
    </row>
    <row r="4400" spans="1:1">
      <c r="A4400" s="22" t="s">
        <v>1385</v>
      </c>
    </row>
    <row r="4402" spans="1:1">
      <c r="A4402" s="22" t="s">
        <v>1037</v>
      </c>
    </row>
    <row r="4404" spans="1:1">
      <c r="A4404" s="19" t="s">
        <v>423</v>
      </c>
    </row>
    <row r="4406" spans="1:1">
      <c r="A4406" s="19" t="s">
        <v>424</v>
      </c>
    </row>
    <row r="4408" spans="1:1">
      <c r="A4408" s="22" t="s">
        <v>407</v>
      </c>
    </row>
    <row r="4410" spans="1:1">
      <c r="A4410" s="22">
        <v>3</v>
      </c>
    </row>
    <row r="4412" spans="1:1">
      <c r="A4412" s="22" t="s">
        <v>1386</v>
      </c>
    </row>
    <row r="4414" spans="1:1">
      <c r="A4414" s="22" t="s">
        <v>728</v>
      </c>
    </row>
    <row r="4416" spans="1:1">
      <c r="A4416" s="19" t="s">
        <v>423</v>
      </c>
    </row>
    <row r="4418" spans="1:1">
      <c r="A4418" s="19" t="s">
        <v>424</v>
      </c>
    </row>
    <row r="4420" spans="1:1">
      <c r="A4420" s="22" t="s">
        <v>407</v>
      </c>
    </row>
    <row r="4422" spans="1:1">
      <c r="A4422" s="22">
        <v>2</v>
      </c>
    </row>
    <row r="4424" spans="1:1">
      <c r="A4424" s="22" t="s">
        <v>1387</v>
      </c>
    </row>
    <row r="4426" spans="1:1">
      <c r="A4426" s="22" t="s">
        <v>430</v>
      </c>
    </row>
    <row r="4428" spans="1:1">
      <c r="A4428" s="19" t="s">
        <v>423</v>
      </c>
    </row>
    <row r="4430" spans="1:1">
      <c r="A4430" s="19" t="s">
        <v>424</v>
      </c>
    </row>
    <row r="4432" spans="1:1">
      <c r="A4432" s="22" t="s">
        <v>407</v>
      </c>
    </row>
    <row r="4434" spans="1:1">
      <c r="A4434" s="22">
        <v>2</v>
      </c>
    </row>
    <row r="4436" spans="1:1">
      <c r="A4436" s="19" t="s">
        <v>909</v>
      </c>
    </row>
    <row r="4438" spans="1:1">
      <c r="A4438" s="22" t="s">
        <v>133</v>
      </c>
    </row>
    <row r="4439" spans="1:1">
      <c r="A4439" s="22" t="s">
        <v>131</v>
      </c>
    </row>
    <row r="4440" spans="1:1">
      <c r="A4440" s="22" t="s">
        <v>389</v>
      </c>
    </row>
    <row r="4442" spans="1:1">
      <c r="A4442" s="19" t="s">
        <v>400</v>
      </c>
    </row>
    <row r="4444" spans="1:1">
      <c r="A4444" s="19" t="s">
        <v>1019</v>
      </c>
    </row>
    <row r="4446" spans="1:1">
      <c r="A4446" s="22" t="s">
        <v>1028</v>
      </c>
    </row>
    <row r="4448" spans="1:1">
      <c r="A4448" s="22" t="s">
        <v>1388</v>
      </c>
    </row>
    <row r="4450" spans="1:1">
      <c r="A4450" s="22" t="s">
        <v>464</v>
      </c>
    </row>
    <row r="4452" spans="1:1">
      <c r="A4452" s="19" t="s">
        <v>406</v>
      </c>
    </row>
    <row r="4454" spans="1:1">
      <c r="A4454" s="22" t="s">
        <v>407</v>
      </c>
    </row>
    <row r="4456" spans="1:1">
      <c r="A4456" s="22">
        <v>2</v>
      </c>
    </row>
    <row r="4458" spans="1:1">
      <c r="A4458" s="22" t="s">
        <v>1389</v>
      </c>
    </row>
    <row r="4460" spans="1:1">
      <c r="A4460" s="22" t="s">
        <v>418</v>
      </c>
    </row>
    <row r="4462" spans="1:1">
      <c r="A4462" s="19" t="s">
        <v>423</v>
      </c>
    </row>
    <row r="4464" spans="1:1">
      <c r="A4464" s="19" t="s">
        <v>424</v>
      </c>
    </row>
    <row r="4466" spans="1:1">
      <c r="A4466" s="22" t="s">
        <v>407</v>
      </c>
    </row>
    <row r="4468" spans="1:1">
      <c r="A4468" s="22">
        <v>3</v>
      </c>
    </row>
    <row r="4470" spans="1:1">
      <c r="A4470" s="22" t="s">
        <v>1390</v>
      </c>
    </row>
    <row r="4472" spans="1:1">
      <c r="A4472" s="22" t="s">
        <v>532</v>
      </c>
    </row>
    <row r="4474" spans="1:1">
      <c r="A4474" s="19" t="s">
        <v>423</v>
      </c>
    </row>
    <row r="4476" spans="1:1">
      <c r="A4476" s="19" t="s">
        <v>424</v>
      </c>
    </row>
    <row r="4478" spans="1:1">
      <c r="A4478" s="22" t="s">
        <v>407</v>
      </c>
    </row>
    <row r="4480" spans="1:1">
      <c r="A4480" s="22">
        <v>3</v>
      </c>
    </row>
    <row r="4482" spans="1:1">
      <c r="A4482" s="22" t="s">
        <v>1391</v>
      </c>
    </row>
    <row r="4484" spans="1:1">
      <c r="A4484" s="22" t="s">
        <v>1248</v>
      </c>
    </row>
    <row r="4486" spans="1:1">
      <c r="A4486" s="19" t="s">
        <v>423</v>
      </c>
    </row>
    <row r="4488" spans="1:1">
      <c r="A4488" s="19" t="s">
        <v>424</v>
      </c>
    </row>
    <row r="4490" spans="1:1">
      <c r="A4490" s="22" t="s">
        <v>407</v>
      </c>
    </row>
    <row r="4492" spans="1:1">
      <c r="A4492" s="22">
        <v>3</v>
      </c>
    </row>
    <row r="4494" spans="1:1">
      <c r="A4494" s="22" t="s">
        <v>1392</v>
      </c>
    </row>
    <row r="4496" spans="1:1">
      <c r="A4496" s="22" t="s">
        <v>485</v>
      </c>
    </row>
    <row r="4498" spans="1:1">
      <c r="A4498" s="19" t="s">
        <v>423</v>
      </c>
    </row>
    <row r="4500" spans="1:1">
      <c r="A4500" s="19" t="s">
        <v>424</v>
      </c>
    </row>
    <row r="4502" spans="1:1">
      <c r="A4502" s="22" t="s">
        <v>407</v>
      </c>
    </row>
    <row r="4504" spans="1:1">
      <c r="A4504" s="22">
        <v>2</v>
      </c>
    </row>
    <row r="4506" spans="1:1">
      <c r="A4506" s="22" t="s">
        <v>1393</v>
      </c>
    </row>
    <row r="4508" spans="1:1">
      <c r="A4508" s="22" t="s">
        <v>738</v>
      </c>
    </row>
    <row r="4510" spans="1:1">
      <c r="A4510" s="19" t="s">
        <v>423</v>
      </c>
    </row>
    <row r="4512" spans="1:1">
      <c r="A4512" s="19" t="s">
        <v>424</v>
      </c>
    </row>
    <row r="4514" spans="1:1">
      <c r="A4514" s="22" t="s">
        <v>407</v>
      </c>
    </row>
    <row r="4516" spans="1:1">
      <c r="A4516" s="22">
        <v>2</v>
      </c>
    </row>
    <row r="4518" spans="1:1">
      <c r="A4518" s="22" t="s">
        <v>1394</v>
      </c>
    </row>
    <row r="4520" spans="1:1">
      <c r="A4520" s="22" t="s">
        <v>456</v>
      </c>
    </row>
    <row r="4522" spans="1:1">
      <c r="A4522" s="19" t="s">
        <v>423</v>
      </c>
    </row>
    <row r="4524" spans="1:1">
      <c r="A4524" s="19" t="s">
        <v>424</v>
      </c>
    </row>
    <row r="4526" spans="1:1">
      <c r="A4526" s="22" t="s">
        <v>407</v>
      </c>
    </row>
    <row r="4528" spans="1:1">
      <c r="A4528" s="22">
        <v>3</v>
      </c>
    </row>
    <row r="4530" spans="1:1">
      <c r="A4530" s="22" t="s">
        <v>1395</v>
      </c>
    </row>
    <row r="4532" spans="1:1">
      <c r="A4532" s="22" t="s">
        <v>460</v>
      </c>
    </row>
    <row r="4534" spans="1:1">
      <c r="A4534" s="19" t="s">
        <v>423</v>
      </c>
    </row>
    <row r="4536" spans="1:1">
      <c r="A4536" s="19" t="s">
        <v>424</v>
      </c>
    </row>
    <row r="4538" spans="1:1">
      <c r="A4538" s="22" t="s">
        <v>407</v>
      </c>
    </row>
    <row r="4540" spans="1:1">
      <c r="A4540" s="22">
        <v>8</v>
      </c>
    </row>
    <row r="4542" spans="1:1">
      <c r="A4542" s="19" t="s">
        <v>918</v>
      </c>
    </row>
    <row r="4544" spans="1:1">
      <c r="A4544" s="22" t="s">
        <v>133</v>
      </c>
    </row>
    <row r="4545" spans="1:1">
      <c r="A4545" s="22" t="s">
        <v>131</v>
      </c>
    </row>
    <row r="4546" spans="1:1">
      <c r="A4546" s="22" t="s">
        <v>389</v>
      </c>
    </row>
    <row r="4548" spans="1:1">
      <c r="A4548" s="19" t="s">
        <v>400</v>
      </c>
    </row>
    <row r="4550" spans="1:1">
      <c r="A4550" s="19" t="s">
        <v>1019</v>
      </c>
    </row>
    <row r="4552" spans="1:1">
      <c r="A4552" s="22" t="s">
        <v>1028</v>
      </c>
    </row>
    <row r="4554" spans="1:1">
      <c r="A4554" s="22" t="s">
        <v>1396</v>
      </c>
    </row>
    <row r="4556" spans="1:1">
      <c r="A4556" s="22" t="s">
        <v>646</v>
      </c>
    </row>
    <row r="4558" spans="1:1">
      <c r="A4558" s="19" t="s">
        <v>406</v>
      </c>
    </row>
    <row r="4560" spans="1:1">
      <c r="A4560" s="22" t="s">
        <v>407</v>
      </c>
    </row>
    <row r="4562" spans="1:1">
      <c r="A4562" s="22">
        <v>2</v>
      </c>
    </row>
    <row r="4564" spans="1:1">
      <c r="A4564" s="22" t="s">
        <v>1397</v>
      </c>
    </row>
    <row r="4566" spans="1:1">
      <c r="A4566" s="22" t="s">
        <v>904</v>
      </c>
    </row>
    <row r="4568" spans="1:1">
      <c r="A4568" s="19" t="s">
        <v>423</v>
      </c>
    </row>
    <row r="4570" spans="1:1">
      <c r="A4570" s="19" t="s">
        <v>424</v>
      </c>
    </row>
    <row r="4572" spans="1:1">
      <c r="A4572" s="22" t="s">
        <v>407</v>
      </c>
    </row>
    <row r="4574" spans="1:1">
      <c r="A4574" s="22">
        <v>2</v>
      </c>
    </row>
    <row r="4576" spans="1:1">
      <c r="A4576" s="22" t="s">
        <v>1398</v>
      </c>
    </row>
    <row r="4578" spans="1:1">
      <c r="A4578" s="22" t="s">
        <v>405</v>
      </c>
    </row>
    <row r="4580" spans="1:1">
      <c r="A4580" s="19" t="s">
        <v>423</v>
      </c>
    </row>
    <row r="4582" spans="1:1">
      <c r="A4582" s="19" t="s">
        <v>424</v>
      </c>
    </row>
    <row r="4584" spans="1:1">
      <c r="A4584" s="22" t="s">
        <v>407</v>
      </c>
    </row>
    <row r="4586" spans="1:1">
      <c r="A4586" s="22">
        <v>2</v>
      </c>
    </row>
    <row r="4588" spans="1:1">
      <c r="A4588" s="22" t="s">
        <v>1399</v>
      </c>
    </row>
    <row r="4590" spans="1:1">
      <c r="A4590" s="22" t="s">
        <v>405</v>
      </c>
    </row>
    <row r="4592" spans="1:1">
      <c r="A4592" s="19" t="s">
        <v>423</v>
      </c>
    </row>
    <row r="4594" spans="1:1">
      <c r="A4594" s="19" t="s">
        <v>424</v>
      </c>
    </row>
    <row r="4596" spans="1:1">
      <c r="A4596" s="22" t="s">
        <v>407</v>
      </c>
    </row>
    <row r="4598" spans="1:1">
      <c r="A4598" s="22">
        <v>2</v>
      </c>
    </row>
    <row r="4600" spans="1:1">
      <c r="A4600" s="22" t="s">
        <v>1400</v>
      </c>
    </row>
    <row r="4602" spans="1:1">
      <c r="A4602" s="22" t="s">
        <v>517</v>
      </c>
    </row>
    <row r="4604" spans="1:1">
      <c r="A4604" s="19" t="s">
        <v>423</v>
      </c>
    </row>
    <row r="4606" spans="1:1">
      <c r="A4606" s="19" t="s">
        <v>424</v>
      </c>
    </row>
    <row r="4608" spans="1:1">
      <c r="A4608" s="22" t="s">
        <v>407</v>
      </c>
    </row>
    <row r="4610" spans="1:1">
      <c r="A4610" s="22">
        <v>2</v>
      </c>
    </row>
    <row r="4612" spans="1:1">
      <c r="A4612" s="22" t="s">
        <v>1401</v>
      </c>
    </row>
    <row r="4614" spans="1:1">
      <c r="A4614" s="22" t="s">
        <v>504</v>
      </c>
    </row>
    <row r="4616" spans="1:1">
      <c r="A4616" s="19" t="s">
        <v>423</v>
      </c>
    </row>
    <row r="4618" spans="1:1">
      <c r="A4618" s="19" t="s">
        <v>424</v>
      </c>
    </row>
    <row r="4620" spans="1:1">
      <c r="A4620" s="22" t="s">
        <v>407</v>
      </c>
    </row>
    <row r="4622" spans="1:1">
      <c r="A4622" s="22">
        <v>2</v>
      </c>
    </row>
    <row r="4624" spans="1:1">
      <c r="A4624" s="22" t="s">
        <v>1402</v>
      </c>
    </row>
    <row r="4626" spans="1:1">
      <c r="A4626" s="22" t="s">
        <v>582</v>
      </c>
    </row>
    <row r="4628" spans="1:1">
      <c r="A4628" s="19" t="s">
        <v>423</v>
      </c>
    </row>
    <row r="4630" spans="1:1">
      <c r="A4630" s="19" t="s">
        <v>424</v>
      </c>
    </row>
    <row r="4632" spans="1:1">
      <c r="A4632" s="22" t="s">
        <v>407</v>
      </c>
    </row>
    <row r="4634" spans="1:1">
      <c r="A4634" s="22">
        <v>2</v>
      </c>
    </row>
    <row r="4636" spans="1:1">
      <c r="A4636" s="22" t="s">
        <v>1403</v>
      </c>
    </row>
    <row r="4638" spans="1:1">
      <c r="A4638" s="22" t="s">
        <v>507</v>
      </c>
    </row>
    <row r="4640" spans="1:1">
      <c r="A4640" s="19" t="s">
        <v>423</v>
      </c>
    </row>
    <row r="4642" spans="1:1">
      <c r="A4642" s="19" t="s">
        <v>424</v>
      </c>
    </row>
    <row r="4644" spans="1:1">
      <c r="A4644" s="22" t="s">
        <v>407</v>
      </c>
    </row>
    <row r="4646" spans="1:1">
      <c r="A4646" s="22">
        <v>4</v>
      </c>
    </row>
    <row r="4648" spans="1:1">
      <c r="A4648" s="19" t="s">
        <v>928</v>
      </c>
    </row>
    <row r="4650" spans="1:1">
      <c r="A4650" s="22" t="s">
        <v>133</v>
      </c>
    </row>
    <row r="4651" spans="1:1">
      <c r="A4651" s="22" t="s">
        <v>131</v>
      </c>
    </row>
    <row r="4652" spans="1:1">
      <c r="A4652" s="22" t="s">
        <v>389</v>
      </c>
    </row>
    <row r="4654" spans="1:1">
      <c r="A4654" s="19" t="s">
        <v>400</v>
      </c>
    </row>
    <row r="4656" spans="1:1">
      <c r="A4656" s="19" t="s">
        <v>1019</v>
      </c>
    </row>
    <row r="4658" spans="1:1">
      <c r="A4658" s="22" t="s">
        <v>1028</v>
      </c>
    </row>
    <row r="4660" spans="1:1">
      <c r="A4660" s="22" t="s">
        <v>1404</v>
      </c>
    </row>
    <row r="4662" spans="1:1">
      <c r="A4662" s="22" t="s">
        <v>460</v>
      </c>
    </row>
    <row r="4664" spans="1:1">
      <c r="A4664" s="19" t="s">
        <v>406</v>
      </c>
    </row>
    <row r="4666" spans="1:1">
      <c r="A4666" s="22" t="s">
        <v>407</v>
      </c>
    </row>
    <row r="4668" spans="1:1">
      <c r="A4668" s="22">
        <v>8</v>
      </c>
    </row>
    <row r="4670" spans="1:1">
      <c r="A4670" s="22" t="s">
        <v>1405</v>
      </c>
    </row>
    <row r="4672" spans="1:1">
      <c r="A4672" s="22" t="s">
        <v>413</v>
      </c>
    </row>
    <row r="4674" spans="1:1">
      <c r="A4674" s="19" t="s">
        <v>423</v>
      </c>
    </row>
    <row r="4676" spans="1:1">
      <c r="A4676" s="19" t="s">
        <v>424</v>
      </c>
    </row>
    <row r="4678" spans="1:1">
      <c r="A4678" s="22" t="s">
        <v>407</v>
      </c>
    </row>
    <row r="4680" spans="1:1">
      <c r="A4680" s="22">
        <v>3</v>
      </c>
    </row>
    <row r="4682" spans="1:1">
      <c r="A4682" s="22" t="s">
        <v>1406</v>
      </c>
    </row>
    <row r="4684" spans="1:1">
      <c r="A4684" s="22" t="s">
        <v>849</v>
      </c>
    </row>
    <row r="4686" spans="1:1">
      <c r="A4686" s="19" t="s">
        <v>423</v>
      </c>
    </row>
    <row r="4688" spans="1:1">
      <c r="A4688" s="19" t="s">
        <v>424</v>
      </c>
    </row>
    <row r="4690" spans="1:1">
      <c r="A4690" s="22" t="s">
        <v>407</v>
      </c>
    </row>
    <row r="4692" spans="1:1">
      <c r="A4692" s="22">
        <v>3</v>
      </c>
    </row>
    <row r="4694" spans="1:1">
      <c r="A4694" s="22" t="s">
        <v>1407</v>
      </c>
    </row>
    <row r="4696" spans="1:1">
      <c r="A4696" s="22" t="s">
        <v>755</v>
      </c>
    </row>
    <row r="4698" spans="1:1">
      <c r="A4698" s="19" t="s">
        <v>423</v>
      </c>
    </row>
    <row r="4700" spans="1:1">
      <c r="A4700" s="19" t="s">
        <v>424</v>
      </c>
    </row>
    <row r="4702" spans="1:1">
      <c r="A4702" s="22" t="s">
        <v>407</v>
      </c>
    </row>
    <row r="4704" spans="1:1">
      <c r="A4704" s="22">
        <v>3</v>
      </c>
    </row>
    <row r="4706" spans="1:1">
      <c r="A4706" s="22" t="s">
        <v>1408</v>
      </c>
    </row>
    <row r="4708" spans="1:1">
      <c r="A4708" s="22" t="s">
        <v>755</v>
      </c>
    </row>
    <row r="4710" spans="1:1">
      <c r="A4710" s="19" t="s">
        <v>423</v>
      </c>
    </row>
    <row r="4712" spans="1:1">
      <c r="A4712" s="19" t="s">
        <v>424</v>
      </c>
    </row>
    <row r="4714" spans="1:1">
      <c r="A4714" s="22" t="s">
        <v>407</v>
      </c>
    </row>
    <row r="4716" spans="1:1">
      <c r="A4716" s="22">
        <v>3</v>
      </c>
    </row>
    <row r="4718" spans="1:1">
      <c r="A4718" s="22" t="s">
        <v>1409</v>
      </c>
    </row>
    <row r="4720" spans="1:1">
      <c r="A4720" s="22" t="s">
        <v>550</v>
      </c>
    </row>
    <row r="4722" spans="1:1">
      <c r="A4722" s="19" t="s">
        <v>423</v>
      </c>
    </row>
    <row r="4724" spans="1:1">
      <c r="A4724" s="19" t="s">
        <v>424</v>
      </c>
    </row>
    <row r="4726" spans="1:1">
      <c r="A4726" s="22" t="s">
        <v>407</v>
      </c>
    </row>
    <row r="4728" spans="1:1">
      <c r="A4728" s="22">
        <v>2</v>
      </c>
    </row>
    <row r="4730" spans="1:1">
      <c r="A4730" s="22" t="s">
        <v>1410</v>
      </c>
    </row>
    <row r="4732" spans="1:1">
      <c r="A4732" s="22" t="s">
        <v>504</v>
      </c>
    </row>
    <row r="4734" spans="1:1">
      <c r="A4734" s="19" t="s">
        <v>423</v>
      </c>
    </row>
    <row r="4736" spans="1:1">
      <c r="A4736" s="19" t="s">
        <v>424</v>
      </c>
    </row>
    <row r="4738" spans="1:1">
      <c r="A4738" s="22" t="s">
        <v>407</v>
      </c>
    </row>
    <row r="4740" spans="1:1">
      <c r="A4740" s="22">
        <v>2</v>
      </c>
    </row>
    <row r="4742" spans="1:1">
      <c r="A4742" s="22" t="s">
        <v>1411</v>
      </c>
    </row>
    <row r="4744" spans="1:1">
      <c r="A4744" s="22" t="s">
        <v>422</v>
      </c>
    </row>
    <row r="4746" spans="1:1">
      <c r="A4746" s="19" t="s">
        <v>423</v>
      </c>
    </row>
    <row r="4748" spans="1:1">
      <c r="A4748" s="19" t="s">
        <v>424</v>
      </c>
    </row>
    <row r="4750" spans="1:1">
      <c r="A4750" s="22" t="s">
        <v>407</v>
      </c>
    </row>
    <row r="4752" spans="1:1">
      <c r="A4752" s="22">
        <v>2</v>
      </c>
    </row>
    <row r="4754" spans="1:1">
      <c r="A4754" s="19" t="s">
        <v>940</v>
      </c>
    </row>
    <row r="4756" spans="1:1">
      <c r="A4756" s="22" t="s">
        <v>133</v>
      </c>
    </row>
    <row r="4757" spans="1:1">
      <c r="A4757" s="22" t="s">
        <v>131</v>
      </c>
    </row>
    <row r="4758" spans="1:1">
      <c r="A4758" s="22" t="s">
        <v>389</v>
      </c>
    </row>
    <row r="4760" spans="1:1">
      <c r="A4760" s="19" t="s">
        <v>400</v>
      </c>
    </row>
    <row r="4762" spans="1:1">
      <c r="A4762" s="19" t="s">
        <v>1019</v>
      </c>
    </row>
    <row r="4764" spans="1:1">
      <c r="A4764" s="22" t="s">
        <v>1028</v>
      </c>
    </row>
    <row r="4766" spans="1:1">
      <c r="A4766" s="22" t="s">
        <v>1412</v>
      </c>
    </row>
    <row r="4768" spans="1:1">
      <c r="A4768" s="22" t="s">
        <v>569</v>
      </c>
    </row>
    <row r="4770" spans="1:1">
      <c r="A4770" s="19" t="s">
        <v>406</v>
      </c>
    </row>
    <row r="4772" spans="1:1">
      <c r="A4772" s="22" t="s">
        <v>407</v>
      </c>
    </row>
    <row r="4774" spans="1:1">
      <c r="A4774" s="22">
        <v>2</v>
      </c>
    </row>
    <row r="4776" spans="1:1">
      <c r="A4776" s="22" t="s">
        <v>1413</v>
      </c>
    </row>
    <row r="4778" spans="1:1">
      <c r="A4778" s="22" t="s">
        <v>1096</v>
      </c>
    </row>
    <row r="4780" spans="1:1">
      <c r="A4780" s="19" t="s">
        <v>423</v>
      </c>
    </row>
    <row r="4782" spans="1:1">
      <c r="A4782" s="19" t="s">
        <v>424</v>
      </c>
    </row>
    <row r="4784" spans="1:1">
      <c r="A4784" s="22" t="s">
        <v>407</v>
      </c>
    </row>
    <row r="4786" spans="1:1">
      <c r="A4786" s="22">
        <v>2</v>
      </c>
    </row>
    <row r="4788" spans="1:1">
      <c r="A4788" s="22" t="s">
        <v>1414</v>
      </c>
    </row>
    <row r="4790" spans="1:1">
      <c r="A4790" s="22" t="s">
        <v>418</v>
      </c>
    </row>
    <row r="4792" spans="1:1">
      <c r="A4792" s="19" t="s">
        <v>423</v>
      </c>
    </row>
    <row r="4794" spans="1:1">
      <c r="A4794" s="19" t="s">
        <v>424</v>
      </c>
    </row>
    <row r="4796" spans="1:1">
      <c r="A4796" s="22" t="s">
        <v>407</v>
      </c>
    </row>
    <row r="4798" spans="1:1">
      <c r="A4798" s="22">
        <v>3</v>
      </c>
    </row>
    <row r="4800" spans="1:1">
      <c r="A4800" s="22" t="s">
        <v>1415</v>
      </c>
    </row>
    <row r="4802" spans="1:1">
      <c r="A4802" s="22" t="s">
        <v>432</v>
      </c>
    </row>
    <row r="4804" spans="1:1">
      <c r="A4804" s="19" t="s">
        <v>423</v>
      </c>
    </row>
    <row r="4806" spans="1:1">
      <c r="A4806" s="19" t="s">
        <v>424</v>
      </c>
    </row>
    <row r="4808" spans="1:1">
      <c r="A4808" s="22" t="s">
        <v>407</v>
      </c>
    </row>
    <row r="4810" spans="1:1">
      <c r="A4810" s="22">
        <v>1</v>
      </c>
    </row>
    <row r="4812" spans="1:1">
      <c r="A4812" s="22" t="s">
        <v>1416</v>
      </c>
    </row>
    <row r="4814" spans="1:1">
      <c r="A4814" s="22" t="s">
        <v>422</v>
      </c>
    </row>
    <row r="4816" spans="1:1">
      <c r="A4816" s="19" t="s">
        <v>423</v>
      </c>
    </row>
    <row r="4818" spans="1:1">
      <c r="A4818" s="19" t="s">
        <v>424</v>
      </c>
    </row>
    <row r="4820" spans="1:1">
      <c r="A4820" s="22" t="s">
        <v>407</v>
      </c>
    </row>
    <row r="4822" spans="1:1">
      <c r="A4822" s="22">
        <v>1</v>
      </c>
    </row>
    <row r="4824" spans="1:1">
      <c r="A4824" s="22" t="s">
        <v>1417</v>
      </c>
    </row>
    <row r="4826" spans="1:1">
      <c r="A4826" s="22" t="s">
        <v>507</v>
      </c>
    </row>
    <row r="4828" spans="1:1">
      <c r="A4828" s="19" t="s">
        <v>423</v>
      </c>
    </row>
    <row r="4830" spans="1:1">
      <c r="A4830" s="19" t="s">
        <v>424</v>
      </c>
    </row>
    <row r="4832" spans="1:1">
      <c r="A4832" s="22" t="s">
        <v>407</v>
      </c>
    </row>
    <row r="4834" spans="1:1">
      <c r="A4834" s="22">
        <v>4</v>
      </c>
    </row>
    <row r="4836" spans="1:1">
      <c r="A4836" s="22" t="s">
        <v>1418</v>
      </c>
    </row>
    <row r="4838" spans="1:1">
      <c r="A4838" s="22" t="s">
        <v>569</v>
      </c>
    </row>
    <row r="4840" spans="1:1">
      <c r="A4840" s="19" t="s">
        <v>423</v>
      </c>
    </row>
    <row r="4842" spans="1:1">
      <c r="A4842" s="19" t="s">
        <v>424</v>
      </c>
    </row>
    <row r="4844" spans="1:1">
      <c r="A4844" s="22" t="s">
        <v>407</v>
      </c>
    </row>
    <row r="4846" spans="1:1">
      <c r="A4846" s="22">
        <v>2</v>
      </c>
    </row>
    <row r="4848" spans="1:1">
      <c r="A4848" s="22" t="s">
        <v>1419</v>
      </c>
    </row>
    <row r="4850" spans="1:1">
      <c r="A4850" s="22" t="s">
        <v>1056</v>
      </c>
    </row>
    <row r="4852" spans="1:1">
      <c r="A4852" s="19" t="s">
        <v>423</v>
      </c>
    </row>
    <row r="4854" spans="1:1">
      <c r="A4854" s="19" t="s">
        <v>424</v>
      </c>
    </row>
    <row r="4856" spans="1:1">
      <c r="A4856" s="22" t="s">
        <v>407</v>
      </c>
    </row>
    <row r="4858" spans="1:1">
      <c r="A4858" s="22">
        <v>2</v>
      </c>
    </row>
    <row r="4860" spans="1:1">
      <c r="A4860" s="19" t="s">
        <v>1420</v>
      </c>
    </row>
    <row r="4862" spans="1:1">
      <c r="A4862" s="22" t="s">
        <v>133</v>
      </c>
    </row>
    <row r="4863" spans="1:1">
      <c r="A4863" s="22" t="s">
        <v>131</v>
      </c>
    </row>
    <row r="4864" spans="1:1">
      <c r="A4864" s="22" t="s">
        <v>389</v>
      </c>
    </row>
    <row r="4866" spans="1:1">
      <c r="A4866" s="19" t="s">
        <v>400</v>
      </c>
    </row>
    <row r="4868" spans="1:1">
      <c r="A4868" s="19" t="s">
        <v>1019</v>
      </c>
    </row>
    <row r="4870" spans="1:1">
      <c r="A4870" s="22" t="s">
        <v>1028</v>
      </c>
    </row>
    <row r="4872" spans="1:1">
      <c r="A4872" s="22" t="s">
        <v>1421</v>
      </c>
    </row>
    <row r="4874" spans="1:1">
      <c r="A4874" s="22" t="s">
        <v>1096</v>
      </c>
    </row>
    <row r="4876" spans="1:1">
      <c r="A4876" s="19" t="s">
        <v>406</v>
      </c>
    </row>
    <row r="4878" spans="1:1">
      <c r="A4878" s="22" t="s">
        <v>407</v>
      </c>
    </row>
    <row r="4880" spans="1:1">
      <c r="A4880" s="22">
        <v>3</v>
      </c>
    </row>
    <row r="4882" spans="1:1">
      <c r="A4882" s="22" t="s">
        <v>1422</v>
      </c>
    </row>
    <row r="4884" spans="1:1">
      <c r="A4884" s="22" t="s">
        <v>438</v>
      </c>
    </row>
    <row r="4886" spans="1:1">
      <c r="A4886" s="19" t="s">
        <v>423</v>
      </c>
    </row>
    <row r="4888" spans="1:1">
      <c r="A4888" s="19" t="s">
        <v>424</v>
      </c>
    </row>
    <row r="4890" spans="1:1">
      <c r="A4890" s="22" t="s">
        <v>407</v>
      </c>
    </row>
    <row r="4892" spans="1:1">
      <c r="A4892" s="22">
        <v>2</v>
      </c>
    </row>
    <row r="4894" spans="1:1">
      <c r="A4894" s="22" t="s">
        <v>1423</v>
      </c>
    </row>
    <row r="4896" spans="1:1">
      <c r="A4896" s="22" t="s">
        <v>418</v>
      </c>
    </row>
    <row r="4898" spans="1:1">
      <c r="A4898" s="19" t="s">
        <v>423</v>
      </c>
    </row>
    <row r="4900" spans="1:1">
      <c r="A4900" s="19" t="s">
        <v>424</v>
      </c>
    </row>
    <row r="4902" spans="1:1">
      <c r="A4902" s="22" t="s">
        <v>407</v>
      </c>
    </row>
    <row r="4904" spans="1:1">
      <c r="A4904" s="22">
        <v>3</v>
      </c>
    </row>
    <row r="4906" spans="1:1">
      <c r="A4906" s="22" t="s">
        <v>1424</v>
      </c>
    </row>
    <row r="4908" spans="1:1">
      <c r="A4908" s="22" t="s">
        <v>444</v>
      </c>
    </row>
    <row r="4910" spans="1:1">
      <c r="A4910" s="19" t="s">
        <v>423</v>
      </c>
    </row>
    <row r="4912" spans="1:1">
      <c r="A4912" s="19" t="s">
        <v>424</v>
      </c>
    </row>
    <row r="4914" spans="1:1">
      <c r="A4914" s="22" t="s">
        <v>407</v>
      </c>
    </row>
    <row r="4916" spans="1:1">
      <c r="A4916" s="22">
        <v>6</v>
      </c>
    </row>
    <row r="4918" spans="1:1">
      <c r="A4918" s="22" t="s">
        <v>1425</v>
      </c>
    </row>
    <row r="4920" spans="1:1">
      <c r="A4920" s="22" t="s">
        <v>495</v>
      </c>
    </row>
    <row r="4922" spans="1:1">
      <c r="A4922" s="19" t="s">
        <v>423</v>
      </c>
    </row>
    <row r="4924" spans="1:1">
      <c r="A4924" s="19" t="s">
        <v>424</v>
      </c>
    </row>
    <row r="4926" spans="1:1">
      <c r="A4926" s="22" t="s">
        <v>407</v>
      </c>
    </row>
    <row r="4928" spans="1:1">
      <c r="A4928" s="22">
        <v>6</v>
      </c>
    </row>
    <row r="4930" spans="1:1">
      <c r="A4930" s="22" t="s">
        <v>1426</v>
      </c>
    </row>
    <row r="4932" spans="1:1">
      <c r="A4932" s="22" t="s">
        <v>446</v>
      </c>
    </row>
    <row r="4934" spans="1:1">
      <c r="A4934" s="19" t="s">
        <v>423</v>
      </c>
    </row>
    <row r="4936" spans="1:1">
      <c r="A4936" s="19" t="s">
        <v>424</v>
      </c>
    </row>
    <row r="4938" spans="1:1">
      <c r="A4938" s="22" t="s">
        <v>407</v>
      </c>
    </row>
    <row r="4940" spans="1:1">
      <c r="A4940" s="22">
        <v>2</v>
      </c>
    </row>
    <row r="4942" spans="1:1">
      <c r="A4942" s="22" t="s">
        <v>1427</v>
      </c>
    </row>
    <row r="4944" spans="1:1">
      <c r="A4944" s="22" t="s">
        <v>432</v>
      </c>
    </row>
    <row r="4946" spans="1:1">
      <c r="A4946" s="19" t="s">
        <v>423</v>
      </c>
    </row>
    <row r="4948" spans="1:1">
      <c r="A4948" s="19" t="s">
        <v>424</v>
      </c>
    </row>
    <row r="4950" spans="1:1">
      <c r="A4950" s="22" t="s">
        <v>407</v>
      </c>
    </row>
    <row r="4952" spans="1:1">
      <c r="A4952" s="22">
        <v>3</v>
      </c>
    </row>
    <row r="4954" spans="1:1">
      <c r="A4954" s="22" t="s">
        <v>1428</v>
      </c>
    </row>
    <row r="4956" spans="1:1">
      <c r="A4956" s="22" t="s">
        <v>1280</v>
      </c>
    </row>
    <row r="4958" spans="1:1">
      <c r="A4958" s="19" t="s">
        <v>423</v>
      </c>
    </row>
    <row r="4960" spans="1:1">
      <c r="A4960" s="19" t="s">
        <v>424</v>
      </c>
    </row>
    <row r="4962" spans="1:1">
      <c r="A4962" s="22" t="s">
        <v>407</v>
      </c>
    </row>
    <row r="4964" spans="1:1">
      <c r="A4964" s="22">
        <v>2</v>
      </c>
    </row>
    <row r="4966" spans="1:1">
      <c r="A4966" s="19" t="s">
        <v>998</v>
      </c>
    </row>
    <row r="4968" spans="1:1">
      <c r="A4968" s="22" t="s">
        <v>133</v>
      </c>
    </row>
    <row r="4969" spans="1:1">
      <c r="A4969" s="22" t="s">
        <v>131</v>
      </c>
    </row>
    <row r="4970" spans="1:1">
      <c r="A4970" s="22" t="s">
        <v>389</v>
      </c>
    </row>
    <row r="4972" spans="1:1">
      <c r="A4972" s="19" t="s">
        <v>400</v>
      </c>
    </row>
    <row r="4974" spans="1:1">
      <c r="A4974" s="19" t="s">
        <v>1019</v>
      </c>
    </row>
    <row r="4976" spans="1:1">
      <c r="A4976" s="22" t="s">
        <v>1028</v>
      </c>
    </row>
    <row r="4978" spans="1:1">
      <c r="A4978" s="22" t="s">
        <v>1429</v>
      </c>
    </row>
    <row r="4980" spans="1:1">
      <c r="A4980" s="22" t="s">
        <v>451</v>
      </c>
    </row>
    <row r="4982" spans="1:1">
      <c r="A4982" s="19" t="s">
        <v>406</v>
      </c>
    </row>
    <row r="4984" spans="1:1">
      <c r="A4984" s="22" t="s">
        <v>407</v>
      </c>
    </row>
    <row r="4986" spans="1:1">
      <c r="A4986" s="22">
        <v>2</v>
      </c>
    </row>
    <row r="4988" spans="1:1">
      <c r="A4988" s="22" t="s">
        <v>1430</v>
      </c>
    </row>
    <row r="4990" spans="1:1">
      <c r="A4990" s="22" t="s">
        <v>1431</v>
      </c>
    </row>
    <row r="4992" spans="1:1">
      <c r="A4992" s="19" t="s">
        <v>423</v>
      </c>
    </row>
    <row r="4994" spans="1:1">
      <c r="A4994" s="19" t="s">
        <v>424</v>
      </c>
    </row>
    <row r="4996" spans="1:1">
      <c r="A4996" s="22" t="s">
        <v>407</v>
      </c>
    </row>
    <row r="4998" spans="1:1">
      <c r="A4998" s="22">
        <v>2</v>
      </c>
    </row>
    <row r="5000" spans="1:1">
      <c r="A5000" s="22" t="s">
        <v>1432</v>
      </c>
    </row>
    <row r="5002" spans="1:1">
      <c r="A5002" s="22" t="s">
        <v>507</v>
      </c>
    </row>
    <row r="5004" spans="1:1">
      <c r="A5004" s="19" t="s">
        <v>423</v>
      </c>
    </row>
    <row r="5006" spans="1:1">
      <c r="A5006" s="19" t="s">
        <v>424</v>
      </c>
    </row>
    <row r="5008" spans="1:1">
      <c r="A5008" s="22" t="s">
        <v>407</v>
      </c>
    </row>
    <row r="5010" spans="1:1">
      <c r="A5010" s="22">
        <v>4</v>
      </c>
    </row>
    <row r="5012" spans="1:1">
      <c r="A5012" s="22" t="s">
        <v>1433</v>
      </c>
    </row>
    <row r="5014" spans="1:1">
      <c r="A5014" s="22" t="s">
        <v>507</v>
      </c>
    </row>
    <row r="5016" spans="1:1">
      <c r="A5016" s="19" t="s">
        <v>423</v>
      </c>
    </row>
    <row r="5018" spans="1:1">
      <c r="A5018" s="19" t="s">
        <v>424</v>
      </c>
    </row>
    <row r="5020" spans="1:1">
      <c r="A5020" s="22" t="s">
        <v>407</v>
      </c>
    </row>
    <row r="5022" spans="1:1">
      <c r="A5022" s="22">
        <v>4</v>
      </c>
    </row>
    <row r="5024" spans="1:1">
      <c r="A5024" s="22" t="s">
        <v>1434</v>
      </c>
    </row>
    <row r="5026" spans="1:1">
      <c r="A5026" s="22" t="s">
        <v>1138</v>
      </c>
    </row>
    <row r="5028" spans="1:1">
      <c r="A5028" s="19" t="s">
        <v>423</v>
      </c>
    </row>
    <row r="5030" spans="1:1">
      <c r="A5030" s="19" t="s">
        <v>424</v>
      </c>
    </row>
    <row r="5032" spans="1:1">
      <c r="A5032" s="22" t="s">
        <v>407</v>
      </c>
    </row>
    <row r="5034" spans="1:1">
      <c r="A5034" s="22">
        <v>2</v>
      </c>
    </row>
    <row r="5036" spans="1:1">
      <c r="A5036" s="22" t="s">
        <v>1435</v>
      </c>
    </row>
    <row r="5038" spans="1:1">
      <c r="A5038" s="22" t="s">
        <v>510</v>
      </c>
    </row>
    <row r="5040" spans="1:1">
      <c r="A5040" s="19" t="s">
        <v>423</v>
      </c>
    </row>
    <row r="5042" spans="1:1">
      <c r="A5042" s="19" t="s">
        <v>424</v>
      </c>
    </row>
    <row r="5044" spans="1:1">
      <c r="A5044" s="22" t="s">
        <v>407</v>
      </c>
    </row>
    <row r="5046" spans="1:1">
      <c r="A5046" s="22">
        <v>2</v>
      </c>
    </row>
    <row r="5048" spans="1:1">
      <c r="A5048" s="22" t="s">
        <v>1436</v>
      </c>
    </row>
    <row r="5050" spans="1:1">
      <c r="A5050" s="22" t="s">
        <v>460</v>
      </c>
    </row>
    <row r="5052" spans="1:1">
      <c r="A5052" s="19" t="s">
        <v>423</v>
      </c>
    </row>
    <row r="5054" spans="1:1">
      <c r="A5054" s="19" t="s">
        <v>424</v>
      </c>
    </row>
    <row r="5056" spans="1:1">
      <c r="A5056" s="22" t="s">
        <v>407</v>
      </c>
    </row>
    <row r="5058" spans="1:1">
      <c r="A5058" s="22">
        <v>10</v>
      </c>
    </row>
    <row r="5060" spans="1:1">
      <c r="A5060" s="22" t="s">
        <v>1437</v>
      </c>
    </row>
    <row r="5062" spans="1:1">
      <c r="A5062" s="22" t="s">
        <v>650</v>
      </c>
    </row>
    <row r="5064" spans="1:1">
      <c r="A5064" s="19" t="s">
        <v>423</v>
      </c>
    </row>
    <row r="5066" spans="1:1">
      <c r="A5066" s="19" t="s">
        <v>424</v>
      </c>
    </row>
    <row r="5068" spans="1:1">
      <c r="A5068" s="22" t="s">
        <v>407</v>
      </c>
    </row>
    <row r="5070" spans="1:1">
      <c r="A5070" s="22">
        <v>4</v>
      </c>
    </row>
    <row r="5072" spans="1:1">
      <c r="A5072" s="19" t="s">
        <v>1438</v>
      </c>
    </row>
    <row r="5074" spans="1:1">
      <c r="A5074" s="22" t="s">
        <v>133</v>
      </c>
    </row>
    <row r="5075" spans="1:1">
      <c r="A5075" s="22" t="s">
        <v>131</v>
      </c>
    </row>
    <row r="5076" spans="1:1">
      <c r="A5076" s="22" t="s">
        <v>389</v>
      </c>
    </row>
    <row r="5078" spans="1:1">
      <c r="A5078" s="19" t="s">
        <v>400</v>
      </c>
    </row>
    <row r="5080" spans="1:1">
      <c r="A5080" s="19" t="s">
        <v>1019</v>
      </c>
    </row>
    <row r="5082" spans="1:1">
      <c r="A5082" s="22" t="s">
        <v>1028</v>
      </c>
    </row>
    <row r="5084" spans="1:1">
      <c r="A5084" s="22" t="s">
        <v>1439</v>
      </c>
    </row>
    <row r="5086" spans="1:1">
      <c r="A5086" s="22" t="s">
        <v>709</v>
      </c>
    </row>
    <row r="5088" spans="1:1">
      <c r="A5088" s="19" t="s">
        <v>406</v>
      </c>
    </row>
    <row r="5090" spans="1:1">
      <c r="A5090" s="22" t="s">
        <v>407</v>
      </c>
    </row>
    <row r="5092" spans="1:1">
      <c r="A5092" s="22">
        <v>2</v>
      </c>
    </row>
    <row r="5094" spans="1:1">
      <c r="A5094" s="22" t="s">
        <v>1440</v>
      </c>
    </row>
    <row r="5096" spans="1:1">
      <c r="A5096" s="22" t="s">
        <v>717</v>
      </c>
    </row>
    <row r="5098" spans="1:1">
      <c r="A5098" s="19" t="s">
        <v>423</v>
      </c>
    </row>
    <row r="5100" spans="1:1">
      <c r="A5100" s="19" t="s">
        <v>424</v>
      </c>
    </row>
    <row r="5102" spans="1:1">
      <c r="A5102" s="22" t="s">
        <v>407</v>
      </c>
    </row>
    <row r="5104" spans="1:1">
      <c r="A5104" s="22">
        <v>2</v>
      </c>
    </row>
    <row r="5106" spans="1:1">
      <c r="A5106" s="22" t="s">
        <v>1441</v>
      </c>
    </row>
    <row r="5108" spans="1:1">
      <c r="A5108" s="22" t="s">
        <v>614</v>
      </c>
    </row>
    <row r="5110" spans="1:1">
      <c r="A5110" s="19" t="s">
        <v>423</v>
      </c>
    </row>
    <row r="5112" spans="1:1">
      <c r="A5112" s="19" t="s">
        <v>424</v>
      </c>
    </row>
    <row r="5114" spans="1:1">
      <c r="A5114" s="22" t="s">
        <v>407</v>
      </c>
    </row>
    <row r="5116" spans="1:1">
      <c r="A5116" s="22">
        <v>6</v>
      </c>
    </row>
    <row r="5118" spans="1:1">
      <c r="A5118" s="22" t="s">
        <v>1442</v>
      </c>
    </row>
    <row r="5120" spans="1:1">
      <c r="A5120" s="22" t="s">
        <v>841</v>
      </c>
    </row>
    <row r="5122" spans="1:1">
      <c r="A5122" s="19" t="s">
        <v>423</v>
      </c>
    </row>
    <row r="5124" spans="1:1">
      <c r="A5124" s="19" t="s">
        <v>424</v>
      </c>
    </row>
    <row r="5126" spans="1:1">
      <c r="A5126" s="22" t="s">
        <v>407</v>
      </c>
    </row>
    <row r="5128" spans="1:1">
      <c r="A5128" s="22">
        <v>2</v>
      </c>
    </row>
    <row r="5130" spans="1:1">
      <c r="A5130" s="22" t="s">
        <v>1443</v>
      </c>
    </row>
    <row r="5132" spans="1:1">
      <c r="A5132" s="22" t="s">
        <v>446</v>
      </c>
    </row>
    <row r="5134" spans="1:1">
      <c r="A5134" s="19" t="s">
        <v>423</v>
      </c>
    </row>
    <row r="5136" spans="1:1">
      <c r="A5136" s="19" t="s">
        <v>424</v>
      </c>
    </row>
    <row r="5138" spans="1:1">
      <c r="A5138" s="22" t="s">
        <v>407</v>
      </c>
    </row>
    <row r="5140" spans="1:1">
      <c r="A5140" s="22">
        <v>2</v>
      </c>
    </row>
    <row r="5142" spans="1:1">
      <c r="A5142" s="22" t="s">
        <v>1444</v>
      </c>
    </row>
    <row r="5144" spans="1:1">
      <c r="A5144" s="22" t="s">
        <v>521</v>
      </c>
    </row>
    <row r="5146" spans="1:1">
      <c r="A5146" s="19" t="s">
        <v>423</v>
      </c>
    </row>
    <row r="5148" spans="1:1">
      <c r="A5148" s="19" t="s">
        <v>424</v>
      </c>
    </row>
    <row r="5150" spans="1:1">
      <c r="A5150" s="22" t="s">
        <v>407</v>
      </c>
    </row>
    <row r="5152" spans="1:1">
      <c r="A5152" s="22">
        <v>2</v>
      </c>
    </row>
    <row r="5154" spans="1:1">
      <c r="A5154" s="22" t="s">
        <v>1445</v>
      </c>
    </row>
    <row r="5156" spans="1:1">
      <c r="A5156" s="22" t="s">
        <v>473</v>
      </c>
    </row>
    <row r="5158" spans="1:1">
      <c r="A5158" s="19" t="s">
        <v>423</v>
      </c>
    </row>
    <row r="5160" spans="1:1">
      <c r="A5160" s="19" t="s">
        <v>424</v>
      </c>
    </row>
    <row r="5162" spans="1:1">
      <c r="A5162" s="22" t="s">
        <v>407</v>
      </c>
    </row>
    <row r="5164" spans="1:1">
      <c r="A5164" s="22">
        <v>3</v>
      </c>
    </row>
    <row r="5166" spans="1:1">
      <c r="A5166" s="22" t="s">
        <v>1446</v>
      </c>
    </row>
    <row r="5168" spans="1:1">
      <c r="A5168" s="22" t="s">
        <v>473</v>
      </c>
    </row>
    <row r="5170" spans="1:1">
      <c r="A5170" s="19" t="s">
        <v>423</v>
      </c>
    </row>
    <row r="5172" spans="1:1">
      <c r="A5172" s="19" t="s">
        <v>424</v>
      </c>
    </row>
    <row r="5174" spans="1:1">
      <c r="A5174" s="22" t="s">
        <v>407</v>
      </c>
    </row>
    <row r="5176" spans="1:1">
      <c r="A5176" s="22">
        <v>3</v>
      </c>
    </row>
    <row r="5178" spans="1:1">
      <c r="A5178" s="19" t="s">
        <v>1447</v>
      </c>
    </row>
    <row r="5180" spans="1:1">
      <c r="A5180" s="22" t="s">
        <v>133</v>
      </c>
    </row>
    <row r="5181" spans="1:1">
      <c r="A5181" s="22" t="s">
        <v>131</v>
      </c>
    </row>
    <row r="5182" spans="1:1">
      <c r="A5182" s="22" t="s">
        <v>389</v>
      </c>
    </row>
    <row r="5184" spans="1:1">
      <c r="A5184" s="19" t="s">
        <v>400</v>
      </c>
    </row>
    <row r="5186" spans="1:1">
      <c r="A5186" s="19" t="s">
        <v>1019</v>
      </c>
    </row>
    <row r="5188" spans="1:1">
      <c r="A5188" s="22" t="s">
        <v>1028</v>
      </c>
    </row>
    <row r="5190" spans="1:1">
      <c r="A5190" s="22" t="s">
        <v>1448</v>
      </c>
    </row>
    <row r="5192" spans="1:1">
      <c r="A5192" s="22" t="s">
        <v>881</v>
      </c>
    </row>
    <row r="5194" spans="1:1">
      <c r="A5194" s="19" t="s">
        <v>406</v>
      </c>
    </row>
    <row r="5196" spans="1:1">
      <c r="A5196" s="22" t="s">
        <v>407</v>
      </c>
    </row>
    <row r="5198" spans="1:1">
      <c r="A5198" s="22">
        <v>4</v>
      </c>
    </row>
    <row r="5200" spans="1:1">
      <c r="A5200" s="22" t="s">
        <v>1449</v>
      </c>
    </row>
    <row r="5202" spans="1:1">
      <c r="A5202" s="22" t="s">
        <v>626</v>
      </c>
    </row>
    <row r="5204" spans="1:1">
      <c r="A5204" s="19" t="s">
        <v>423</v>
      </c>
    </row>
    <row r="5206" spans="1:1">
      <c r="A5206" s="19" t="s">
        <v>424</v>
      </c>
    </row>
    <row r="5208" spans="1:1">
      <c r="A5208" s="22" t="s">
        <v>407</v>
      </c>
    </row>
    <row r="5210" spans="1:1">
      <c r="A5210" s="22">
        <v>2</v>
      </c>
    </row>
    <row r="5212" spans="1:1">
      <c r="A5212" s="22" t="s">
        <v>1450</v>
      </c>
    </row>
    <row r="5214" spans="1:1">
      <c r="A5214" s="22" t="s">
        <v>448</v>
      </c>
    </row>
    <row r="5216" spans="1:1">
      <c r="A5216" s="19" t="s">
        <v>423</v>
      </c>
    </row>
    <row r="5218" spans="1:1">
      <c r="A5218" s="19" t="s">
        <v>424</v>
      </c>
    </row>
    <row r="5220" spans="1:1">
      <c r="A5220" s="22" t="s">
        <v>407</v>
      </c>
    </row>
    <row r="5222" spans="1:1">
      <c r="A5222" s="22">
        <v>3</v>
      </c>
    </row>
    <row r="5224" spans="1:1">
      <c r="A5224" s="22" t="s">
        <v>1451</v>
      </c>
    </row>
    <row r="5226" spans="1:1">
      <c r="A5226" s="22" t="s">
        <v>630</v>
      </c>
    </row>
    <row r="5228" spans="1:1">
      <c r="A5228" s="19" t="s">
        <v>423</v>
      </c>
    </row>
    <row r="5230" spans="1:1">
      <c r="A5230" s="19" t="s">
        <v>424</v>
      </c>
    </row>
    <row r="5232" spans="1:1">
      <c r="A5232" s="22" t="s">
        <v>407</v>
      </c>
    </row>
    <row r="5234" spans="1:1">
      <c r="A5234" s="22">
        <v>6</v>
      </c>
    </row>
    <row r="5236" spans="1:1">
      <c r="A5236" s="22" t="s">
        <v>1452</v>
      </c>
    </row>
    <row r="5238" spans="1:1">
      <c r="A5238" s="22" t="s">
        <v>777</v>
      </c>
    </row>
    <row r="5240" spans="1:1">
      <c r="A5240" s="19" t="s">
        <v>423</v>
      </c>
    </row>
    <row r="5242" spans="1:1">
      <c r="A5242" s="19" t="s">
        <v>424</v>
      </c>
    </row>
    <row r="5244" spans="1:1">
      <c r="A5244" s="22" t="s">
        <v>407</v>
      </c>
    </row>
    <row r="5246" spans="1:1">
      <c r="A5246" s="22">
        <v>3</v>
      </c>
    </row>
    <row r="5248" spans="1:1">
      <c r="A5248" s="22" t="s">
        <v>1453</v>
      </c>
    </row>
    <row r="5250" spans="1:1">
      <c r="A5250" s="22" t="s">
        <v>532</v>
      </c>
    </row>
    <row r="5252" spans="1:1">
      <c r="A5252" s="19" t="s">
        <v>423</v>
      </c>
    </row>
    <row r="5254" spans="1:1">
      <c r="A5254" s="19" t="s">
        <v>424</v>
      </c>
    </row>
    <row r="5256" spans="1:1">
      <c r="A5256" s="22" t="s">
        <v>407</v>
      </c>
    </row>
    <row r="5258" spans="1:1">
      <c r="A5258" s="22">
        <v>3</v>
      </c>
    </row>
    <row r="5260" spans="1:1">
      <c r="A5260" s="22" t="s">
        <v>1454</v>
      </c>
    </row>
    <row r="5262" spans="1:1">
      <c r="A5262" s="22" t="s">
        <v>481</v>
      </c>
    </row>
    <row r="5264" spans="1:1">
      <c r="A5264" s="19" t="s">
        <v>423</v>
      </c>
    </row>
    <row r="5266" spans="1:1">
      <c r="A5266" s="19" t="s">
        <v>424</v>
      </c>
    </row>
    <row r="5268" spans="1:1">
      <c r="A5268" s="22" t="s">
        <v>407</v>
      </c>
    </row>
    <row r="5270" spans="1:1">
      <c r="A5270" s="22">
        <v>2</v>
      </c>
    </row>
    <row r="5272" spans="1:1">
      <c r="A5272" s="22" t="s">
        <v>1455</v>
      </c>
    </row>
    <row r="5274" spans="1:1">
      <c r="A5274" s="22" t="s">
        <v>469</v>
      </c>
    </row>
    <row r="5276" spans="1:1">
      <c r="A5276" s="19" t="s">
        <v>423</v>
      </c>
    </row>
    <row r="5278" spans="1:1">
      <c r="A5278" s="19" t="s">
        <v>424</v>
      </c>
    </row>
    <row r="5280" spans="1:1">
      <c r="A5280" s="22" t="s">
        <v>407</v>
      </c>
    </row>
    <row r="5282" spans="1:1">
      <c r="A5282" s="22">
        <v>2</v>
      </c>
    </row>
    <row r="5284" spans="1:1">
      <c r="A5284" s="19" t="s">
        <v>1456</v>
      </c>
    </row>
    <row r="5286" spans="1:1">
      <c r="A5286" s="22" t="s">
        <v>133</v>
      </c>
    </row>
    <row r="5287" spans="1:1">
      <c r="A5287" s="22" t="s">
        <v>131</v>
      </c>
    </row>
    <row r="5288" spans="1:1">
      <c r="A5288" s="22" t="s">
        <v>389</v>
      </c>
    </row>
    <row r="5290" spans="1:1">
      <c r="A5290" s="19" t="s">
        <v>400</v>
      </c>
    </row>
    <row r="5292" spans="1:1">
      <c r="A5292" s="19" t="s">
        <v>1019</v>
      </c>
    </row>
    <row r="5294" spans="1:1">
      <c r="A5294" s="22" t="s">
        <v>1028</v>
      </c>
    </row>
    <row r="5296" spans="1:1">
      <c r="A5296" s="22" t="s">
        <v>1457</v>
      </c>
    </row>
    <row r="5298" spans="1:1">
      <c r="A5298" s="22" t="s">
        <v>532</v>
      </c>
    </row>
    <row r="5300" spans="1:1">
      <c r="A5300" s="19" t="s">
        <v>406</v>
      </c>
    </row>
    <row r="5302" spans="1:1">
      <c r="A5302" s="22" t="s">
        <v>407</v>
      </c>
    </row>
    <row r="5304" spans="1:1">
      <c r="A5304" s="22">
        <v>3</v>
      </c>
    </row>
    <row r="5306" spans="1:1">
      <c r="A5306" s="22" t="s">
        <v>1458</v>
      </c>
    </row>
    <row r="5308" spans="1:1">
      <c r="A5308" s="22" t="s">
        <v>538</v>
      </c>
    </row>
    <row r="5310" spans="1:1">
      <c r="A5310" s="19" t="s">
        <v>423</v>
      </c>
    </row>
    <row r="5312" spans="1:1">
      <c r="A5312" s="19" t="s">
        <v>424</v>
      </c>
    </row>
    <row r="5314" spans="1:1">
      <c r="A5314" s="22" t="s">
        <v>407</v>
      </c>
    </row>
    <row r="5316" spans="1:1">
      <c r="A5316" s="22">
        <v>2</v>
      </c>
    </row>
    <row r="5318" spans="1:1">
      <c r="A5318" s="22" t="s">
        <v>1459</v>
      </c>
    </row>
    <row r="5320" spans="1:1">
      <c r="A5320" s="22" t="s">
        <v>1431</v>
      </c>
    </row>
    <row r="5322" spans="1:1">
      <c r="A5322" s="19" t="s">
        <v>423</v>
      </c>
    </row>
    <row r="5324" spans="1:1">
      <c r="A5324" s="19" t="s">
        <v>424</v>
      </c>
    </row>
    <row r="5326" spans="1:1">
      <c r="A5326" s="22" t="s">
        <v>407</v>
      </c>
    </row>
    <row r="5328" spans="1:1">
      <c r="A5328" s="22">
        <v>2</v>
      </c>
    </row>
    <row r="5330" spans="1:1">
      <c r="A5330" s="22" t="s">
        <v>1460</v>
      </c>
    </row>
    <row r="5332" spans="1:1">
      <c r="A5332" s="22" t="s">
        <v>641</v>
      </c>
    </row>
    <row r="5334" spans="1:1">
      <c r="A5334" s="19" t="s">
        <v>423</v>
      </c>
    </row>
    <row r="5336" spans="1:1">
      <c r="A5336" s="19" t="s">
        <v>424</v>
      </c>
    </row>
    <row r="5338" spans="1:1">
      <c r="A5338" s="22" t="s">
        <v>407</v>
      </c>
    </row>
    <row r="5340" spans="1:1">
      <c r="A5340" s="22">
        <v>2</v>
      </c>
    </row>
    <row r="5342" spans="1:1">
      <c r="A5342" s="22" t="s">
        <v>1461</v>
      </c>
    </row>
    <row r="5344" spans="1:1">
      <c r="A5344" s="22" t="s">
        <v>650</v>
      </c>
    </row>
    <row r="5346" spans="1:1">
      <c r="A5346" s="19" t="s">
        <v>423</v>
      </c>
    </row>
    <row r="5348" spans="1:1">
      <c r="A5348" s="19" t="s">
        <v>424</v>
      </c>
    </row>
    <row r="5350" spans="1:1">
      <c r="A5350" s="22" t="s">
        <v>407</v>
      </c>
    </row>
    <row r="5352" spans="1:1">
      <c r="A5352" s="22">
        <v>6</v>
      </c>
    </row>
    <row r="5354" spans="1:1">
      <c r="A5354" s="22" t="s">
        <v>1462</v>
      </c>
    </row>
    <row r="5356" spans="1:1">
      <c r="A5356" s="22" t="s">
        <v>456</v>
      </c>
    </row>
    <row r="5358" spans="1:1">
      <c r="A5358" s="19" t="s">
        <v>423</v>
      </c>
    </row>
    <row r="5360" spans="1:1">
      <c r="A5360" s="19" t="s">
        <v>424</v>
      </c>
    </row>
    <row r="5362" spans="1:1">
      <c r="A5362" s="22" t="s">
        <v>407</v>
      </c>
    </row>
    <row r="5364" spans="1:1">
      <c r="A5364" s="22">
        <v>3</v>
      </c>
    </row>
    <row r="5366" spans="1:1">
      <c r="A5366" s="22" t="s">
        <v>1463</v>
      </c>
    </row>
    <row r="5368" spans="1:1">
      <c r="A5368" s="22" t="s">
        <v>456</v>
      </c>
    </row>
    <row r="5370" spans="1:1">
      <c r="A5370" s="19" t="s">
        <v>423</v>
      </c>
    </row>
    <row r="5372" spans="1:1">
      <c r="A5372" s="19" t="s">
        <v>424</v>
      </c>
    </row>
    <row r="5374" spans="1:1">
      <c r="A5374" s="22" t="s">
        <v>407</v>
      </c>
    </row>
    <row r="5376" spans="1:1">
      <c r="A5376" s="22">
        <v>3</v>
      </c>
    </row>
    <row r="5378" spans="1:1">
      <c r="A5378" s="22" t="s">
        <v>1464</v>
      </c>
    </row>
    <row r="5380" spans="1:1">
      <c r="A5380" s="22" t="s">
        <v>672</v>
      </c>
    </row>
    <row r="5382" spans="1:1">
      <c r="A5382" s="19" t="s">
        <v>423</v>
      </c>
    </row>
    <row r="5384" spans="1:1">
      <c r="A5384" s="19" t="s">
        <v>424</v>
      </c>
    </row>
    <row r="5386" spans="1:1">
      <c r="A5386" s="22" t="s">
        <v>407</v>
      </c>
    </row>
    <row r="5388" spans="1:1">
      <c r="A5388" s="22">
        <v>3</v>
      </c>
    </row>
    <row r="5390" spans="1:1">
      <c r="A5390" s="19" t="s">
        <v>1465</v>
      </c>
    </row>
    <row r="5392" spans="1:1">
      <c r="A5392" s="22" t="s">
        <v>133</v>
      </c>
    </row>
    <row r="5393" spans="1:1">
      <c r="A5393" s="22" t="s">
        <v>131</v>
      </c>
    </row>
    <row r="5394" spans="1:1">
      <c r="A5394" s="22" t="s">
        <v>389</v>
      </c>
    </row>
    <row r="5396" spans="1:1">
      <c r="A5396" s="19" t="s">
        <v>400</v>
      </c>
    </row>
    <row r="5398" spans="1:1">
      <c r="A5398" s="19" t="s">
        <v>1019</v>
      </c>
    </row>
    <row r="5400" spans="1:1">
      <c r="A5400" s="22" t="s">
        <v>1028</v>
      </c>
    </row>
    <row r="5402" spans="1:1">
      <c r="A5402" s="22" t="s">
        <v>1466</v>
      </c>
    </row>
    <row r="5404" spans="1:1">
      <c r="A5404" s="22" t="s">
        <v>540</v>
      </c>
    </row>
    <row r="5406" spans="1:1">
      <c r="A5406" s="19" t="s">
        <v>406</v>
      </c>
    </row>
    <row r="5408" spans="1:1">
      <c r="A5408" s="22" t="s">
        <v>407</v>
      </c>
    </row>
    <row r="5410" spans="1:1">
      <c r="A5410" s="22">
        <v>3</v>
      </c>
    </row>
    <row r="5412" spans="1:1">
      <c r="A5412" s="22" t="s">
        <v>1467</v>
      </c>
    </row>
    <row r="5414" spans="1:1">
      <c r="A5414" s="22" t="s">
        <v>544</v>
      </c>
    </row>
    <row r="5416" spans="1:1">
      <c r="A5416" s="19" t="s">
        <v>423</v>
      </c>
    </row>
    <row r="5418" spans="1:1">
      <c r="A5418" s="19" t="s">
        <v>424</v>
      </c>
    </row>
    <row r="5420" spans="1:1">
      <c r="A5420" s="22" t="s">
        <v>407</v>
      </c>
    </row>
    <row r="5422" spans="1:1">
      <c r="A5422" s="22">
        <v>3</v>
      </c>
    </row>
    <row r="5424" spans="1:1">
      <c r="A5424" s="22" t="s">
        <v>1468</v>
      </c>
    </row>
    <row r="5426" spans="1:1">
      <c r="A5426" s="22" t="s">
        <v>1469</v>
      </c>
    </row>
    <row r="5428" spans="1:1">
      <c r="A5428" s="19" t="s">
        <v>423</v>
      </c>
    </row>
    <row r="5430" spans="1:1">
      <c r="A5430" s="19" t="s">
        <v>424</v>
      </c>
    </row>
    <row r="5432" spans="1:1">
      <c r="A5432" s="22" t="s">
        <v>407</v>
      </c>
    </row>
    <row r="5434" spans="1:1">
      <c r="A5434" s="22">
        <v>3</v>
      </c>
    </row>
    <row r="5436" spans="1:1">
      <c r="A5436" s="22" t="s">
        <v>1470</v>
      </c>
    </row>
    <row r="5438" spans="1:1">
      <c r="A5438" s="22" t="s">
        <v>489</v>
      </c>
    </row>
    <row r="5440" spans="1:1">
      <c r="A5440" s="19" t="s">
        <v>423</v>
      </c>
    </row>
    <row r="5442" spans="1:1">
      <c r="A5442" s="19" t="s">
        <v>424</v>
      </c>
    </row>
    <row r="5444" spans="1:1">
      <c r="A5444" s="22" t="s">
        <v>407</v>
      </c>
    </row>
    <row r="5446" spans="1:1">
      <c r="A5446" s="22">
        <v>2</v>
      </c>
    </row>
    <row r="5448" spans="1:1">
      <c r="A5448" s="22" t="s">
        <v>1471</v>
      </c>
    </row>
    <row r="5450" spans="1:1">
      <c r="A5450" s="22" t="s">
        <v>679</v>
      </c>
    </row>
    <row r="5452" spans="1:1">
      <c r="A5452" s="19" t="s">
        <v>423</v>
      </c>
    </row>
    <row r="5454" spans="1:1">
      <c r="A5454" s="19" t="s">
        <v>424</v>
      </c>
    </row>
    <row r="5456" spans="1:1">
      <c r="A5456" s="22" t="s">
        <v>407</v>
      </c>
    </row>
    <row r="5458" spans="1:1">
      <c r="A5458" s="22">
        <v>2</v>
      </c>
    </row>
    <row r="5460" spans="1:1">
      <c r="A5460" s="22" t="s">
        <v>1472</v>
      </c>
    </row>
    <row r="5462" spans="1:1">
      <c r="A5462" s="22" t="s">
        <v>652</v>
      </c>
    </row>
    <row r="5464" spans="1:1">
      <c r="A5464" s="19" t="s">
        <v>423</v>
      </c>
    </row>
    <row r="5466" spans="1:1">
      <c r="A5466" s="19" t="s">
        <v>424</v>
      </c>
    </row>
    <row r="5468" spans="1:1">
      <c r="A5468" s="22" t="s">
        <v>407</v>
      </c>
    </row>
    <row r="5470" spans="1:1">
      <c r="A5470" s="22">
        <v>2</v>
      </c>
    </row>
    <row r="5472" spans="1:1">
      <c r="A5472" s="22" t="s">
        <v>1473</v>
      </c>
    </row>
    <row r="5474" spans="1:1">
      <c r="A5474" s="22" t="s">
        <v>1108</v>
      </c>
    </row>
    <row r="5476" spans="1:1">
      <c r="A5476" s="19" t="s">
        <v>423</v>
      </c>
    </row>
    <row r="5478" spans="1:1">
      <c r="A5478" s="19" t="s">
        <v>424</v>
      </c>
    </row>
    <row r="5480" spans="1:1">
      <c r="A5480" s="22" t="s">
        <v>407</v>
      </c>
    </row>
    <row r="5482" spans="1:1">
      <c r="A5482" s="22">
        <v>2</v>
      </c>
    </row>
    <row r="5484" spans="1:1">
      <c r="A5484" s="22" t="s">
        <v>1474</v>
      </c>
    </row>
    <row r="5486" spans="1:1">
      <c r="A5486" s="22" t="s">
        <v>595</v>
      </c>
    </row>
    <row r="5488" spans="1:1">
      <c r="A5488" s="19" t="s">
        <v>423</v>
      </c>
    </row>
    <row r="5490" spans="1:1">
      <c r="A5490" s="19" t="s">
        <v>424</v>
      </c>
    </row>
    <row r="5492" spans="1:1">
      <c r="A5492" s="22" t="s">
        <v>407</v>
      </c>
    </row>
    <row r="5494" spans="1:1">
      <c r="A5494" s="22">
        <v>6</v>
      </c>
    </row>
    <row r="5496" spans="1:1">
      <c r="A5496" s="19" t="s">
        <v>1475</v>
      </c>
    </row>
    <row r="5498" spans="1:1">
      <c r="A5498" s="22" t="s">
        <v>133</v>
      </c>
    </row>
    <row r="5499" spans="1:1">
      <c r="A5499" s="22" t="s">
        <v>131</v>
      </c>
    </row>
    <row r="5500" spans="1:1">
      <c r="A5500" s="22" t="s">
        <v>389</v>
      </c>
    </row>
    <row r="5502" spans="1:1">
      <c r="A5502" s="19" t="s">
        <v>400</v>
      </c>
    </row>
    <row r="5504" spans="1:1">
      <c r="A5504" s="19" t="s">
        <v>1019</v>
      </c>
    </row>
    <row r="5506" spans="1:1">
      <c r="A5506" s="22" t="s">
        <v>1028</v>
      </c>
    </row>
    <row r="5508" spans="1:1">
      <c r="A5508" s="22" t="s">
        <v>1476</v>
      </c>
    </row>
    <row r="5510" spans="1:1">
      <c r="A5510" s="22" t="s">
        <v>507</v>
      </c>
    </row>
    <row r="5512" spans="1:1">
      <c r="A5512" s="19" t="s">
        <v>406</v>
      </c>
    </row>
    <row r="5514" spans="1:1">
      <c r="A5514" s="22" t="s">
        <v>407</v>
      </c>
    </row>
    <row r="5516" spans="1:1">
      <c r="A5516" s="22">
        <v>4</v>
      </c>
    </row>
    <row r="5518" spans="1:1">
      <c r="A5518" s="22" t="s">
        <v>1477</v>
      </c>
    </row>
    <row r="5520" spans="1:1">
      <c r="A5520" s="22" t="s">
        <v>650</v>
      </c>
    </row>
    <row r="5522" spans="1:1">
      <c r="A5522" s="19" t="s">
        <v>423</v>
      </c>
    </row>
    <row r="5524" spans="1:1">
      <c r="A5524" s="19" t="s">
        <v>424</v>
      </c>
    </row>
    <row r="5526" spans="1:1">
      <c r="A5526" s="22" t="s">
        <v>407</v>
      </c>
    </row>
    <row r="5528" spans="1:1">
      <c r="A5528" s="22">
        <v>6</v>
      </c>
    </row>
    <row r="5530" spans="1:1">
      <c r="A5530" s="22" t="s">
        <v>1478</v>
      </c>
    </row>
    <row r="5532" spans="1:1">
      <c r="A5532" s="22" t="s">
        <v>428</v>
      </c>
    </row>
    <row r="5534" spans="1:1">
      <c r="A5534" s="19" t="s">
        <v>423</v>
      </c>
    </row>
    <row r="5536" spans="1:1">
      <c r="A5536" s="19" t="s">
        <v>424</v>
      </c>
    </row>
    <row r="5538" spans="1:1">
      <c r="A5538" s="22" t="s">
        <v>407</v>
      </c>
    </row>
    <row r="5540" spans="1:1">
      <c r="A5540" s="22">
        <v>1</v>
      </c>
    </row>
    <row r="5542" spans="1:1">
      <c r="A5542" s="22" t="s">
        <v>1479</v>
      </c>
    </row>
    <row r="5544" spans="1:1">
      <c r="A5544" s="22" t="s">
        <v>428</v>
      </c>
    </row>
    <row r="5546" spans="1:1">
      <c r="A5546" s="19" t="s">
        <v>423</v>
      </c>
    </row>
    <row r="5548" spans="1:1">
      <c r="A5548" s="19" t="s">
        <v>424</v>
      </c>
    </row>
    <row r="5550" spans="1:1">
      <c r="A5550" s="22" t="s">
        <v>407</v>
      </c>
    </row>
    <row r="5552" spans="1:1">
      <c r="A5552" s="22">
        <v>1</v>
      </c>
    </row>
    <row r="5554" spans="1:1">
      <c r="A5554" s="22" t="s">
        <v>1480</v>
      </c>
    </row>
    <row r="5556" spans="1:1">
      <c r="A5556" s="22" t="s">
        <v>418</v>
      </c>
    </row>
    <row r="5558" spans="1:1">
      <c r="A5558" s="19" t="s">
        <v>423</v>
      </c>
    </row>
    <row r="5560" spans="1:1">
      <c r="A5560" s="19" t="s">
        <v>424</v>
      </c>
    </row>
    <row r="5562" spans="1:1">
      <c r="A5562" s="22" t="s">
        <v>407</v>
      </c>
    </row>
    <row r="5564" spans="1:1">
      <c r="A5564" s="22">
        <v>1</v>
      </c>
    </row>
    <row r="5566" spans="1:1">
      <c r="A5566" s="22" t="s">
        <v>1481</v>
      </c>
    </row>
    <row r="5568" spans="1:1">
      <c r="A5568" s="22" t="s">
        <v>430</v>
      </c>
    </row>
    <row r="5570" spans="1:1">
      <c r="A5570" s="19" t="s">
        <v>423</v>
      </c>
    </row>
    <row r="5572" spans="1:1">
      <c r="A5572" s="19" t="s">
        <v>424</v>
      </c>
    </row>
    <row r="5574" spans="1:1">
      <c r="A5574" s="22" t="s">
        <v>407</v>
      </c>
    </row>
    <row r="5576" spans="1:1">
      <c r="A5576" s="22">
        <v>1</v>
      </c>
    </row>
    <row r="5578" spans="1:1">
      <c r="A5578" s="22" t="s">
        <v>1482</v>
      </c>
    </row>
    <row r="5580" spans="1:1">
      <c r="A5580" s="22" t="s">
        <v>430</v>
      </c>
    </row>
    <row r="5582" spans="1:1">
      <c r="A5582" s="19" t="s">
        <v>423</v>
      </c>
    </row>
    <row r="5584" spans="1:1">
      <c r="A5584" s="19" t="s">
        <v>424</v>
      </c>
    </row>
    <row r="5586" spans="1:1">
      <c r="A5586" s="22" t="s">
        <v>407</v>
      </c>
    </row>
    <row r="5588" spans="1:1">
      <c r="A5588" s="22">
        <v>1</v>
      </c>
    </row>
    <row r="5590" spans="1:1">
      <c r="A5590" s="22" t="s">
        <v>1483</v>
      </c>
    </row>
    <row r="5592" spans="1:1">
      <c r="A5592" s="22" t="s">
        <v>432</v>
      </c>
    </row>
    <row r="5594" spans="1:1">
      <c r="A5594" s="19" t="s">
        <v>423</v>
      </c>
    </row>
    <row r="5596" spans="1:1">
      <c r="A5596" s="19" t="s">
        <v>424</v>
      </c>
    </row>
    <row r="5598" spans="1:1">
      <c r="A5598" s="22" t="s">
        <v>407</v>
      </c>
    </row>
    <row r="5600" spans="1:1">
      <c r="A5600" s="22">
        <v>3</v>
      </c>
    </row>
    <row r="5602" spans="1:1">
      <c r="A5602" s="19" t="s">
        <v>1484</v>
      </c>
    </row>
    <row r="5604" spans="1:1">
      <c r="A5604" s="22" t="s">
        <v>133</v>
      </c>
    </row>
    <row r="5605" spans="1:1">
      <c r="A5605" s="22" t="s">
        <v>131</v>
      </c>
    </row>
    <row r="5606" spans="1:1">
      <c r="A5606" s="22" t="s">
        <v>389</v>
      </c>
    </row>
    <row r="5608" spans="1:1">
      <c r="A5608" s="19" t="s">
        <v>400</v>
      </c>
    </row>
    <row r="5610" spans="1:1">
      <c r="A5610" s="19" t="s">
        <v>1019</v>
      </c>
    </row>
    <row r="5612" spans="1:1">
      <c r="A5612" s="22" t="s">
        <v>1028</v>
      </c>
    </row>
    <row r="5614" spans="1:1">
      <c r="A5614" s="22" t="s">
        <v>1485</v>
      </c>
    </row>
    <row r="5616" spans="1:1">
      <c r="A5616" s="22" t="s">
        <v>428</v>
      </c>
    </row>
    <row r="5618" spans="1:1">
      <c r="A5618" s="19" t="s">
        <v>406</v>
      </c>
    </row>
    <row r="5620" spans="1:1">
      <c r="A5620" s="22" t="s">
        <v>407</v>
      </c>
    </row>
    <row r="5622" spans="1:1">
      <c r="A5622" s="22">
        <v>3</v>
      </c>
    </row>
    <row r="5624" spans="1:1">
      <c r="A5624" s="22" t="s">
        <v>1486</v>
      </c>
    </row>
    <row r="5626" spans="1:1">
      <c r="A5626" s="22" t="s">
        <v>432</v>
      </c>
    </row>
    <row r="5628" spans="1:1">
      <c r="A5628" s="19" t="s">
        <v>423</v>
      </c>
    </row>
    <row r="5630" spans="1:1">
      <c r="A5630" s="19" t="s">
        <v>424</v>
      </c>
    </row>
    <row r="5632" spans="1:1">
      <c r="A5632" s="22" t="s">
        <v>407</v>
      </c>
    </row>
    <row r="5634" spans="1:1">
      <c r="A5634" s="22">
        <v>1</v>
      </c>
    </row>
    <row r="5636" spans="1:1">
      <c r="A5636" s="22" t="s">
        <v>1487</v>
      </c>
    </row>
    <row r="5638" spans="1:1">
      <c r="A5638" s="22" t="s">
        <v>1092</v>
      </c>
    </row>
    <row r="5640" spans="1:1">
      <c r="A5640" s="19" t="s">
        <v>423</v>
      </c>
    </row>
    <row r="5642" spans="1:1">
      <c r="A5642" s="19" t="s">
        <v>424</v>
      </c>
    </row>
    <row r="5644" spans="1:1">
      <c r="A5644" s="22" t="s">
        <v>407</v>
      </c>
    </row>
    <row r="5646" spans="1:1">
      <c r="A5646" s="22">
        <v>2</v>
      </c>
    </row>
    <row r="5648" spans="1:1">
      <c r="A5648" s="22" t="s">
        <v>1488</v>
      </c>
    </row>
    <row r="5650" spans="1:1">
      <c r="A5650" s="22" t="s">
        <v>422</v>
      </c>
    </row>
    <row r="5652" spans="1:1">
      <c r="A5652" s="19" t="s">
        <v>423</v>
      </c>
    </row>
    <row r="5654" spans="1:1">
      <c r="A5654" s="19" t="s">
        <v>424</v>
      </c>
    </row>
    <row r="5656" spans="1:1">
      <c r="A5656" s="22" t="s">
        <v>407</v>
      </c>
    </row>
    <row r="5658" spans="1:1">
      <c r="A5658" s="22">
        <v>1</v>
      </c>
    </row>
    <row r="5660" spans="1:1">
      <c r="A5660" s="22" t="s">
        <v>1489</v>
      </c>
    </row>
    <row r="5662" spans="1:1">
      <c r="A5662" s="22" t="s">
        <v>418</v>
      </c>
    </row>
    <row r="5664" spans="1:1">
      <c r="A5664" s="19" t="s">
        <v>423</v>
      </c>
    </row>
    <row r="5666" spans="1:1">
      <c r="A5666" s="19" t="s">
        <v>424</v>
      </c>
    </row>
    <row r="5668" spans="1:1">
      <c r="A5668" s="22" t="s">
        <v>407</v>
      </c>
    </row>
    <row r="5670" spans="1:1">
      <c r="A5670" s="22">
        <v>3</v>
      </c>
    </row>
    <row r="5672" spans="1:1">
      <c r="A5672" s="22" t="s">
        <v>1490</v>
      </c>
    </row>
    <row r="5674" spans="1:1">
      <c r="A5674" s="22" t="s">
        <v>1092</v>
      </c>
    </row>
    <row r="5676" spans="1:1">
      <c r="A5676" s="19" t="s">
        <v>423</v>
      </c>
    </row>
    <row r="5678" spans="1:1">
      <c r="A5678" s="19" t="s">
        <v>424</v>
      </c>
    </row>
    <row r="5680" spans="1:1">
      <c r="A5680" s="22" t="s">
        <v>407</v>
      </c>
    </row>
    <row r="5682" spans="1:1">
      <c r="A5682" s="22">
        <v>2</v>
      </c>
    </row>
    <row r="5684" spans="1:1">
      <c r="A5684" s="22" t="s">
        <v>1491</v>
      </c>
    </row>
    <row r="5686" spans="1:1">
      <c r="A5686" s="22" t="s">
        <v>584</v>
      </c>
    </row>
    <row r="5688" spans="1:1">
      <c r="A5688" s="19" t="s">
        <v>423</v>
      </c>
    </row>
    <row r="5690" spans="1:1">
      <c r="A5690" s="19" t="s">
        <v>424</v>
      </c>
    </row>
    <row r="5692" spans="1:1">
      <c r="A5692" s="22" t="s">
        <v>407</v>
      </c>
    </row>
    <row r="5694" spans="1:1">
      <c r="A5694" s="22">
        <v>2</v>
      </c>
    </row>
    <row r="5696" spans="1:1">
      <c r="A5696" s="22" t="s">
        <v>1492</v>
      </c>
    </row>
    <row r="5698" spans="1:1">
      <c r="A5698" s="22" t="s">
        <v>428</v>
      </c>
    </row>
    <row r="5700" spans="1:1">
      <c r="A5700" s="19" t="s">
        <v>423</v>
      </c>
    </row>
    <row r="5702" spans="1:1">
      <c r="A5702" s="19" t="s">
        <v>424</v>
      </c>
    </row>
    <row r="5704" spans="1:1">
      <c r="A5704" s="22" t="s">
        <v>407</v>
      </c>
    </row>
    <row r="5706" spans="1:1">
      <c r="A5706" s="22">
        <v>3</v>
      </c>
    </row>
    <row r="5708" spans="1:1">
      <c r="A5708" s="19" t="s">
        <v>1493</v>
      </c>
    </row>
    <row r="5710" spans="1:1">
      <c r="A5710" s="22" t="s">
        <v>133</v>
      </c>
    </row>
    <row r="5711" spans="1:1">
      <c r="A5711" s="22" t="s">
        <v>131</v>
      </c>
    </row>
    <row r="5712" spans="1:1">
      <c r="A5712" s="22" t="s">
        <v>389</v>
      </c>
    </row>
    <row r="5714" spans="1:1">
      <c r="A5714" s="19" t="s">
        <v>400</v>
      </c>
    </row>
    <row r="5716" spans="1:1">
      <c r="A5716" s="19" t="s">
        <v>1019</v>
      </c>
    </row>
    <row r="5718" spans="1:1">
      <c r="A5718" s="22" t="s">
        <v>1028</v>
      </c>
    </row>
    <row r="5720" spans="1:1">
      <c r="A5720" s="22" t="s">
        <v>1494</v>
      </c>
    </row>
    <row r="5722" spans="1:1">
      <c r="A5722" s="22" t="s">
        <v>609</v>
      </c>
    </row>
    <row r="5724" spans="1:1">
      <c r="A5724" s="19" t="s">
        <v>406</v>
      </c>
    </row>
    <row r="5726" spans="1:1">
      <c r="A5726" s="22" t="s">
        <v>407</v>
      </c>
    </row>
    <row r="5728" spans="1:1">
      <c r="A5728" s="22">
        <v>2</v>
      </c>
    </row>
    <row r="5730" spans="1:1">
      <c r="A5730" s="22" t="s">
        <v>1495</v>
      </c>
    </row>
    <row r="5732" spans="1:1">
      <c r="A5732" s="22" t="s">
        <v>728</v>
      </c>
    </row>
    <row r="5734" spans="1:1">
      <c r="A5734" s="19" t="s">
        <v>423</v>
      </c>
    </row>
    <row r="5736" spans="1:1">
      <c r="A5736" s="19" t="s">
        <v>424</v>
      </c>
    </row>
    <row r="5738" spans="1:1">
      <c r="A5738" s="22" t="s">
        <v>407</v>
      </c>
    </row>
    <row r="5740" spans="1:1">
      <c r="A5740" s="22">
        <v>2</v>
      </c>
    </row>
    <row r="5742" spans="1:1">
      <c r="A5742" s="22" t="s">
        <v>1496</v>
      </c>
    </row>
    <row r="5744" spans="1:1">
      <c r="A5744" s="22" t="s">
        <v>827</v>
      </c>
    </row>
    <row r="5746" spans="1:1">
      <c r="A5746" s="19" t="s">
        <v>423</v>
      </c>
    </row>
    <row r="5748" spans="1:1">
      <c r="A5748" s="19" t="s">
        <v>424</v>
      </c>
    </row>
    <row r="5750" spans="1:1">
      <c r="A5750" s="22" t="s">
        <v>407</v>
      </c>
    </row>
    <row r="5752" spans="1:1">
      <c r="A5752" s="22">
        <v>2</v>
      </c>
    </row>
    <row r="5754" spans="1:1">
      <c r="A5754" s="22" t="s">
        <v>1497</v>
      </c>
    </row>
    <row r="5756" spans="1:1">
      <c r="A5756" s="22" t="s">
        <v>589</v>
      </c>
    </row>
    <row r="5758" spans="1:1">
      <c r="A5758" s="19" t="s">
        <v>423</v>
      </c>
    </row>
    <row r="5760" spans="1:1">
      <c r="A5760" s="19" t="s">
        <v>424</v>
      </c>
    </row>
    <row r="5762" spans="1:1">
      <c r="A5762" s="22" t="s">
        <v>407</v>
      </c>
    </row>
    <row r="5764" spans="1:1">
      <c r="A5764" s="22">
        <v>3</v>
      </c>
    </row>
    <row r="5766" spans="1:1">
      <c r="A5766" s="22" t="s">
        <v>1498</v>
      </c>
    </row>
    <row r="5768" spans="1:1">
      <c r="A5768" s="22" t="s">
        <v>481</v>
      </c>
    </row>
    <row r="5770" spans="1:1">
      <c r="A5770" s="19" t="s">
        <v>423</v>
      </c>
    </row>
    <row r="5772" spans="1:1">
      <c r="A5772" s="19" t="s">
        <v>424</v>
      </c>
    </row>
    <row r="5774" spans="1:1">
      <c r="A5774" s="22" t="s">
        <v>407</v>
      </c>
    </row>
    <row r="5776" spans="1:1">
      <c r="A5776" s="22">
        <v>2</v>
      </c>
    </row>
    <row r="5778" spans="1:1">
      <c r="A5778" s="22" t="s">
        <v>1499</v>
      </c>
    </row>
    <row r="5780" spans="1:1">
      <c r="A5780" s="22" t="s">
        <v>560</v>
      </c>
    </row>
    <row r="5782" spans="1:1">
      <c r="A5782" s="19" t="s">
        <v>423</v>
      </c>
    </row>
    <row r="5784" spans="1:1">
      <c r="A5784" s="19" t="s">
        <v>424</v>
      </c>
    </row>
    <row r="5786" spans="1:1">
      <c r="A5786" s="22" t="s">
        <v>407</v>
      </c>
    </row>
    <row r="5788" spans="1:1">
      <c r="A5788" s="22">
        <v>3</v>
      </c>
    </row>
    <row r="5790" spans="1:1">
      <c r="A5790" s="22" t="s">
        <v>1500</v>
      </c>
    </row>
    <row r="5792" spans="1:1">
      <c r="A5792" s="22" t="s">
        <v>762</v>
      </c>
    </row>
    <row r="5794" spans="1:1">
      <c r="A5794" s="19" t="s">
        <v>423</v>
      </c>
    </row>
    <row r="5796" spans="1:1">
      <c r="A5796" s="19" t="s">
        <v>424</v>
      </c>
    </row>
    <row r="5798" spans="1:1">
      <c r="A5798" s="22" t="s">
        <v>407</v>
      </c>
    </row>
    <row r="5800" spans="1:1">
      <c r="A5800" s="22">
        <v>2</v>
      </c>
    </row>
    <row r="5802" spans="1:1">
      <c r="A5802" s="22" t="s">
        <v>1501</v>
      </c>
    </row>
    <row r="5804" spans="1:1">
      <c r="A5804" s="22" t="s">
        <v>460</v>
      </c>
    </row>
    <row r="5806" spans="1:1">
      <c r="A5806" s="19" t="s">
        <v>423</v>
      </c>
    </row>
    <row r="5808" spans="1:1">
      <c r="A5808" s="19" t="s">
        <v>424</v>
      </c>
    </row>
    <row r="5810" spans="1:1">
      <c r="A5810" s="22" t="s">
        <v>407</v>
      </c>
    </row>
    <row r="5812" spans="1:1">
      <c r="A5812" s="22">
        <v>5</v>
      </c>
    </row>
    <row r="5814" spans="1:1">
      <c r="A5814" s="19" t="s">
        <v>1502</v>
      </c>
    </row>
    <row r="5816" spans="1:1">
      <c r="A5816" s="22" t="s">
        <v>133</v>
      </c>
    </row>
    <row r="5817" spans="1:1">
      <c r="A5817" s="22" t="s">
        <v>131</v>
      </c>
    </row>
    <row r="5818" spans="1:1">
      <c r="A5818" s="22" t="s">
        <v>389</v>
      </c>
    </row>
    <row r="5820" spans="1:1">
      <c r="A5820" s="19" t="s">
        <v>400</v>
      </c>
    </row>
    <row r="5822" spans="1:1">
      <c r="A5822" s="19" t="s">
        <v>1019</v>
      </c>
    </row>
    <row r="5824" spans="1:1">
      <c r="A5824" s="22" t="s">
        <v>1028</v>
      </c>
    </row>
    <row r="5826" spans="1:1">
      <c r="A5826" s="22" t="s">
        <v>1503</v>
      </c>
    </row>
    <row r="5828" spans="1:1">
      <c r="A5828" s="22" t="s">
        <v>512</v>
      </c>
    </row>
    <row r="5830" spans="1:1">
      <c r="A5830" s="19" t="s">
        <v>406</v>
      </c>
    </row>
    <row r="5832" spans="1:1">
      <c r="A5832" s="22" t="s">
        <v>407</v>
      </c>
    </row>
    <row r="5834" spans="1:1">
      <c r="A5834" s="22">
        <v>2</v>
      </c>
    </row>
    <row r="5836" spans="1:1">
      <c r="A5836" s="22" t="s">
        <v>1504</v>
      </c>
    </row>
    <row r="5838" spans="1:1">
      <c r="A5838" s="22" t="s">
        <v>768</v>
      </c>
    </row>
    <row r="5840" spans="1:1">
      <c r="A5840" s="19" t="s">
        <v>423</v>
      </c>
    </row>
    <row r="5842" spans="1:1">
      <c r="A5842" s="19" t="s">
        <v>424</v>
      </c>
    </row>
    <row r="5844" spans="1:1">
      <c r="A5844" s="22" t="s">
        <v>407</v>
      </c>
    </row>
    <row r="5846" spans="1:1">
      <c r="A5846" s="22">
        <v>2</v>
      </c>
    </row>
    <row r="5848" spans="1:1">
      <c r="A5848" s="22" t="s">
        <v>1505</v>
      </c>
    </row>
    <row r="5850" spans="1:1">
      <c r="A5850" s="22" t="s">
        <v>641</v>
      </c>
    </row>
    <row r="5852" spans="1:1">
      <c r="A5852" s="19" t="s">
        <v>423</v>
      </c>
    </row>
    <row r="5854" spans="1:1">
      <c r="A5854" s="19" t="s">
        <v>424</v>
      </c>
    </row>
    <row r="5856" spans="1:1">
      <c r="A5856" s="22" t="s">
        <v>407</v>
      </c>
    </row>
    <row r="5858" spans="1:1">
      <c r="A5858" s="22">
        <v>2</v>
      </c>
    </row>
    <row r="5860" spans="1:1">
      <c r="A5860" s="22" t="s">
        <v>1506</v>
      </c>
    </row>
    <row r="5862" spans="1:1">
      <c r="A5862" s="22" t="s">
        <v>770</v>
      </c>
    </row>
    <row r="5864" spans="1:1">
      <c r="A5864" s="19" t="s">
        <v>423</v>
      </c>
    </row>
    <row r="5866" spans="1:1">
      <c r="A5866" s="19" t="s">
        <v>424</v>
      </c>
    </row>
    <row r="5868" spans="1:1">
      <c r="A5868" s="22" t="s">
        <v>407</v>
      </c>
    </row>
    <row r="5870" spans="1:1">
      <c r="A5870" s="22">
        <v>2</v>
      </c>
    </row>
    <row r="5872" spans="1:1">
      <c r="A5872" s="22" t="s">
        <v>1507</v>
      </c>
    </row>
    <row r="5874" spans="1:1">
      <c r="A5874" s="22" t="s">
        <v>557</v>
      </c>
    </row>
    <row r="5876" spans="1:1">
      <c r="A5876" s="19" t="s">
        <v>423</v>
      </c>
    </row>
    <row r="5878" spans="1:1">
      <c r="A5878" s="19" t="s">
        <v>424</v>
      </c>
    </row>
    <row r="5880" spans="1:1">
      <c r="A5880" s="22" t="s">
        <v>407</v>
      </c>
    </row>
    <row r="5882" spans="1:1">
      <c r="A5882" s="22">
        <v>2</v>
      </c>
    </row>
    <row r="5884" spans="1:1">
      <c r="A5884" s="22" t="s">
        <v>1508</v>
      </c>
    </row>
    <row r="5886" spans="1:1">
      <c r="A5886" s="22" t="s">
        <v>626</v>
      </c>
    </row>
    <row r="5888" spans="1:1">
      <c r="A5888" s="19" t="s">
        <v>423</v>
      </c>
    </row>
    <row r="5890" spans="1:1">
      <c r="A5890" s="19" t="s">
        <v>424</v>
      </c>
    </row>
    <row r="5892" spans="1:1">
      <c r="A5892" s="22" t="s">
        <v>407</v>
      </c>
    </row>
    <row r="5894" spans="1:1">
      <c r="A5894" s="22">
        <v>2</v>
      </c>
    </row>
    <row r="5896" spans="1:1">
      <c r="A5896" s="22" t="s">
        <v>1509</v>
      </c>
    </row>
    <row r="5898" spans="1:1">
      <c r="A5898" s="22" t="s">
        <v>1376</v>
      </c>
    </row>
    <row r="5900" spans="1:1">
      <c r="A5900" s="19" t="s">
        <v>423</v>
      </c>
    </row>
    <row r="5902" spans="1:1">
      <c r="A5902" s="19" t="s">
        <v>424</v>
      </c>
    </row>
    <row r="5904" spans="1:1">
      <c r="A5904" s="22" t="s">
        <v>407</v>
      </c>
    </row>
    <row r="5906" spans="1:1">
      <c r="A5906" s="22">
        <v>2</v>
      </c>
    </row>
    <row r="5908" spans="1:1">
      <c r="A5908" s="22" t="s">
        <v>1510</v>
      </c>
    </row>
    <row r="5910" spans="1:1">
      <c r="A5910" s="22" t="s">
        <v>446</v>
      </c>
    </row>
    <row r="5912" spans="1:1">
      <c r="A5912" s="19" t="s">
        <v>423</v>
      </c>
    </row>
    <row r="5914" spans="1:1">
      <c r="A5914" s="19" t="s">
        <v>424</v>
      </c>
    </row>
    <row r="5916" spans="1:1">
      <c r="A5916" s="22" t="s">
        <v>407</v>
      </c>
    </row>
    <row r="5918" spans="1:1">
      <c r="A5918" s="22">
        <v>3</v>
      </c>
    </row>
    <row r="5920" spans="1:1">
      <c r="A5920" s="19" t="s">
        <v>1511</v>
      </c>
    </row>
    <row r="5922" spans="1:1">
      <c r="A5922" s="22" t="s">
        <v>133</v>
      </c>
    </row>
    <row r="5923" spans="1:1">
      <c r="A5923" s="22" t="s">
        <v>131</v>
      </c>
    </row>
    <row r="5924" spans="1:1">
      <c r="A5924" s="22" t="s">
        <v>389</v>
      </c>
    </row>
    <row r="5926" spans="1:1">
      <c r="A5926" s="19" t="s">
        <v>400</v>
      </c>
    </row>
    <row r="5928" spans="1:1">
      <c r="A5928" s="19" t="s">
        <v>1019</v>
      </c>
    </row>
    <row r="5930" spans="1:1">
      <c r="A5930" s="22" t="s">
        <v>1028</v>
      </c>
    </row>
    <row r="5932" spans="1:1">
      <c r="A5932" s="22" t="s">
        <v>1512</v>
      </c>
    </row>
    <row r="5934" spans="1:1">
      <c r="A5934" s="22" t="s">
        <v>519</v>
      </c>
    </row>
    <row r="5936" spans="1:1">
      <c r="A5936" s="19" t="s">
        <v>406</v>
      </c>
    </row>
    <row r="5938" spans="1:1">
      <c r="A5938" s="22" t="s">
        <v>407</v>
      </c>
    </row>
    <row r="5940" spans="1:1">
      <c r="A5940" s="22">
        <v>2</v>
      </c>
    </row>
    <row r="5942" spans="1:1">
      <c r="A5942" s="22" t="s">
        <v>1513</v>
      </c>
    </row>
    <row r="5944" spans="1:1">
      <c r="A5944" s="22" t="s">
        <v>875</v>
      </c>
    </row>
    <row r="5946" spans="1:1">
      <c r="A5946" s="19" t="s">
        <v>423</v>
      </c>
    </row>
    <row r="5948" spans="1:1">
      <c r="A5948" s="19" t="s">
        <v>424</v>
      </c>
    </row>
    <row r="5950" spans="1:1">
      <c r="A5950" s="22" t="s">
        <v>407</v>
      </c>
    </row>
    <row r="5952" spans="1:1">
      <c r="A5952" s="22">
        <v>2</v>
      </c>
    </row>
    <row r="5954" spans="1:1">
      <c r="A5954" s="22" t="s">
        <v>1514</v>
      </c>
    </row>
    <row r="5956" spans="1:1">
      <c r="A5956" s="22" t="s">
        <v>937</v>
      </c>
    </row>
    <row r="5958" spans="1:1">
      <c r="A5958" s="19" t="s">
        <v>423</v>
      </c>
    </row>
    <row r="5960" spans="1:1">
      <c r="A5960" s="19" t="s">
        <v>424</v>
      </c>
    </row>
    <row r="5962" spans="1:1">
      <c r="A5962" s="22" t="s">
        <v>407</v>
      </c>
    </row>
    <row r="5964" spans="1:1">
      <c r="A5964" s="22">
        <v>3</v>
      </c>
    </row>
    <row r="5966" spans="1:1">
      <c r="A5966" s="22" t="s">
        <v>1515</v>
      </c>
    </row>
    <row r="5968" spans="1:1">
      <c r="A5968" s="22" t="s">
        <v>532</v>
      </c>
    </row>
    <row r="5970" spans="1:1">
      <c r="A5970" s="19" t="s">
        <v>423</v>
      </c>
    </row>
    <row r="5972" spans="1:1">
      <c r="A5972" s="19" t="s">
        <v>424</v>
      </c>
    </row>
    <row r="5974" spans="1:1">
      <c r="A5974" s="22" t="s">
        <v>407</v>
      </c>
    </row>
    <row r="5976" spans="1:1">
      <c r="A5976" s="22">
        <v>3</v>
      </c>
    </row>
    <row r="5978" spans="1:1">
      <c r="A5978" s="22" t="s">
        <v>1516</v>
      </c>
    </row>
    <row r="5980" spans="1:1">
      <c r="A5980" s="22" t="s">
        <v>523</v>
      </c>
    </row>
    <row r="5982" spans="1:1">
      <c r="A5982" s="19" t="s">
        <v>423</v>
      </c>
    </row>
    <row r="5984" spans="1:1">
      <c r="A5984" s="19" t="s">
        <v>424</v>
      </c>
    </row>
    <row r="5986" spans="1:1">
      <c r="A5986" s="22" t="s">
        <v>407</v>
      </c>
    </row>
    <row r="5988" spans="1:1">
      <c r="A5988" s="22">
        <v>3</v>
      </c>
    </row>
    <row r="5990" spans="1:1">
      <c r="A5990" s="22" t="s">
        <v>1517</v>
      </c>
    </row>
    <row r="5992" spans="1:1">
      <c r="A5992" s="22" t="s">
        <v>584</v>
      </c>
    </row>
    <row r="5994" spans="1:1">
      <c r="A5994" s="19" t="s">
        <v>423</v>
      </c>
    </row>
    <row r="5996" spans="1:1">
      <c r="A5996" s="19" t="s">
        <v>424</v>
      </c>
    </row>
    <row r="5998" spans="1:1">
      <c r="A5998" s="22" t="s">
        <v>407</v>
      </c>
    </row>
    <row r="6000" spans="1:1">
      <c r="A6000" s="22">
        <v>2</v>
      </c>
    </row>
    <row r="6002" spans="1:1">
      <c r="A6002" s="22" t="s">
        <v>1518</v>
      </c>
    </row>
    <row r="6004" spans="1:1">
      <c r="A6004" s="22" t="s">
        <v>448</v>
      </c>
    </row>
    <row r="6006" spans="1:1">
      <c r="A6006" s="19" t="s">
        <v>423</v>
      </c>
    </row>
    <row r="6008" spans="1:1">
      <c r="A6008" s="19" t="s">
        <v>424</v>
      </c>
    </row>
    <row r="6010" spans="1:1">
      <c r="A6010" s="22" t="s">
        <v>407</v>
      </c>
    </row>
    <row r="6012" spans="1:1">
      <c r="A6012" s="22">
        <v>3</v>
      </c>
    </row>
    <row r="6014" spans="1:1">
      <c r="A6014" s="19" t="s">
        <v>953</v>
      </c>
    </row>
    <row r="6016" spans="1:1">
      <c r="A6016" s="19" t="s">
        <v>954</v>
      </c>
    </row>
    <row r="6018" spans="1:1">
      <c r="A6018" s="22" t="s">
        <v>1519</v>
      </c>
    </row>
    <row r="6020" spans="1:1">
      <c r="A6020" s="19" t="s">
        <v>950</v>
      </c>
    </row>
    <row r="6022" spans="1:1">
      <c r="A6022" s="22">
        <v>2487</v>
      </c>
    </row>
    <row r="6024" spans="1:1">
      <c r="A6024" s="24" t="s">
        <v>951</v>
      </c>
    </row>
    <row r="6026" spans="1:1">
      <c r="A6026" s="22" t="s">
        <v>1520</v>
      </c>
    </row>
    <row r="6028" spans="1:1" ht="36" customHeight="1">
      <c r="A6028" s="30" t="s">
        <v>400</v>
      </c>
    </row>
    <row r="6029" spans="1:1">
      <c r="A6029" s="30"/>
    </row>
    <row r="6030" spans="1:1">
      <c r="A6030" s="37" t="s">
        <v>953</v>
      </c>
    </row>
    <row r="6031" spans="1:1">
      <c r="A6031" s="37"/>
    </row>
    <row r="6032" spans="1:1">
      <c r="A6032" s="29" t="s">
        <v>1521</v>
      </c>
    </row>
    <row r="6033" spans="1:1">
      <c r="A6033" s="28"/>
    </row>
    <row r="6034" spans="1:1" ht="20">
      <c r="A6034" s="29" t="s">
        <v>956</v>
      </c>
    </row>
    <row r="6035" spans="1:1">
      <c r="A6035" s="28"/>
    </row>
    <row r="6037" spans="1:1">
      <c r="A6037" s="19" t="s">
        <v>957</v>
      </c>
    </row>
    <row r="6039" spans="1:1">
      <c r="A6039" s="22">
        <v>392690979</v>
      </c>
    </row>
    <row r="6041" spans="1:1">
      <c r="A6041" s="22" t="s">
        <v>1522</v>
      </c>
    </row>
    <row r="6043" spans="1:1">
      <c r="A6043" s="19" t="s">
        <v>1523</v>
      </c>
    </row>
    <row r="6045" spans="1:1">
      <c r="A6045" s="23" t="s">
        <v>976</v>
      </c>
    </row>
    <row r="6047" spans="1:1">
      <c r="A6047" s="19" t="s">
        <v>977</v>
      </c>
    </row>
    <row r="6049" spans="1:1">
      <c r="A6049" s="22" t="s">
        <v>1524</v>
      </c>
    </row>
    <row r="6051" spans="1:1">
      <c r="A6051" s="22" t="s">
        <v>1525</v>
      </c>
    </row>
    <row r="6053" spans="1:1">
      <c r="A6053" s="19" t="s">
        <v>981</v>
      </c>
    </row>
    <row r="6055" spans="1:1">
      <c r="A6055" s="22" t="s">
        <v>1526</v>
      </c>
    </row>
    <row r="6057" spans="1:1">
      <c r="A6057" s="22" t="s">
        <v>1527</v>
      </c>
    </row>
    <row r="6059" spans="1:1">
      <c r="A6059" s="22" t="s">
        <v>1528</v>
      </c>
    </row>
    <row r="6061" spans="1:1">
      <c r="A6061" s="22" t="s">
        <v>1529</v>
      </c>
    </row>
    <row r="6063" spans="1:1">
      <c r="A6063" s="22" t="s">
        <v>985</v>
      </c>
    </row>
    <row r="6065" spans="1:1">
      <c r="A6065" s="22" t="s">
        <v>986</v>
      </c>
    </row>
    <row r="6067" spans="1:1">
      <c r="A6067" s="22" t="s">
        <v>1530</v>
      </c>
    </row>
    <row r="6069" spans="1:1">
      <c r="A6069" s="22" t="s">
        <v>1531</v>
      </c>
    </row>
    <row r="6071" spans="1:1">
      <c r="A6071" s="22" t="s">
        <v>1532</v>
      </c>
    </row>
    <row r="6073" spans="1:1">
      <c r="A6073" s="22" t="s">
        <v>1533</v>
      </c>
    </row>
    <row r="6075" spans="1:1">
      <c r="A6075" s="22" t="s">
        <v>1534</v>
      </c>
    </row>
    <row r="6077" spans="1:1">
      <c r="A6077" s="22" t="s">
        <v>992</v>
      </c>
    </row>
    <row r="6079" spans="1:1">
      <c r="A6079" s="22" t="s">
        <v>993</v>
      </c>
    </row>
    <row r="6081" spans="1:1">
      <c r="A6081" s="22" t="s">
        <v>994</v>
      </c>
    </row>
    <row r="6083" spans="1:1">
      <c r="A6083" s="22" t="s">
        <v>1535</v>
      </c>
    </row>
    <row r="6085" spans="1:1">
      <c r="A6085" s="19" t="s">
        <v>962</v>
      </c>
    </row>
    <row r="6087" spans="1:1">
      <c r="A6087" s="22" t="s">
        <v>961</v>
      </c>
    </row>
    <row r="6089" spans="1:1">
      <c r="A6089" s="19" t="s">
        <v>962</v>
      </c>
    </row>
    <row r="6091" spans="1:1">
      <c r="A6091" s="22" t="s">
        <v>961</v>
      </c>
    </row>
    <row r="6093" spans="1:1">
      <c r="A6093" s="19" t="s">
        <v>962</v>
      </c>
    </row>
    <row r="6095" spans="1:1">
      <c r="A6095" s="22" t="s">
        <v>961</v>
      </c>
    </row>
    <row r="6097" spans="1:1">
      <c r="A6097" s="19" t="s">
        <v>962</v>
      </c>
    </row>
    <row r="6099" spans="1:1">
      <c r="A6099" s="22" t="s">
        <v>961</v>
      </c>
    </row>
    <row r="6101" spans="1:1">
      <c r="A6101" s="19" t="s">
        <v>962</v>
      </c>
    </row>
    <row r="6103" spans="1:1">
      <c r="A6103" s="22" t="s">
        <v>961</v>
      </c>
    </row>
    <row r="6105" spans="1:1">
      <c r="A6105" s="19" t="s">
        <v>962</v>
      </c>
    </row>
    <row r="6107" spans="1:1">
      <c r="A6107" s="22" t="s">
        <v>961</v>
      </c>
    </row>
    <row r="6109" spans="1:1">
      <c r="A6109" s="19" t="s">
        <v>962</v>
      </c>
    </row>
    <row r="6111" spans="1:1">
      <c r="A6111" s="22" t="s">
        <v>961</v>
      </c>
    </row>
    <row r="6113" spans="1:1">
      <c r="A6113" s="19" t="s">
        <v>962</v>
      </c>
    </row>
    <row r="6115" spans="1:1">
      <c r="A6115" s="22" t="s">
        <v>961</v>
      </c>
    </row>
    <row r="6117" spans="1:1">
      <c r="A6117" s="19" t="s">
        <v>962</v>
      </c>
    </row>
    <row r="6119" spans="1:1">
      <c r="A6119" s="22" t="s">
        <v>961</v>
      </c>
    </row>
    <row r="6121" spans="1:1">
      <c r="A6121" s="19" t="s">
        <v>962</v>
      </c>
    </row>
    <row r="6123" spans="1:1">
      <c r="A6123" s="22" t="s">
        <v>961</v>
      </c>
    </row>
    <row r="6125" spans="1:1">
      <c r="A6125" s="19" t="s">
        <v>962</v>
      </c>
    </row>
    <row r="6127" spans="1:1">
      <c r="A6127" s="22" t="s">
        <v>961</v>
      </c>
    </row>
    <row r="6129" spans="1:1">
      <c r="A6129" s="19" t="s">
        <v>962</v>
      </c>
    </row>
    <row r="6131" spans="1:1">
      <c r="A6131" s="22" t="s">
        <v>961</v>
      </c>
    </row>
    <row r="6133" spans="1:1">
      <c r="A6133" s="19" t="s">
        <v>962</v>
      </c>
    </row>
    <row r="6135" spans="1:1">
      <c r="A6135" s="22" t="s">
        <v>961</v>
      </c>
    </row>
    <row r="6137" spans="1:1">
      <c r="A6137" s="19" t="s">
        <v>962</v>
      </c>
    </row>
    <row r="6139" spans="1:1">
      <c r="A6139" s="22">
        <v>29.106999999999999</v>
      </c>
    </row>
    <row r="6141" spans="1:1">
      <c r="A6141" s="22" t="s">
        <v>1536</v>
      </c>
    </row>
    <row r="6143" spans="1:1">
      <c r="A6143" s="22" t="s">
        <v>1537</v>
      </c>
    </row>
    <row r="6145" spans="1:1">
      <c r="A6145" s="22" t="s">
        <v>1538</v>
      </c>
    </row>
    <row r="6147" spans="1:1">
      <c r="A6147" s="22" t="s">
        <v>1539</v>
      </c>
    </row>
    <row r="6149" spans="1:1">
      <c r="A6149" s="22" t="s">
        <v>967</v>
      </c>
    </row>
    <row r="6151" spans="1:1">
      <c r="A6151" s="22" t="s">
        <v>968</v>
      </c>
    </row>
    <row r="6153" spans="1:1">
      <c r="A6153" s="22" t="s">
        <v>1540</v>
      </c>
    </row>
    <row r="6155" spans="1:1">
      <c r="A6155" s="22" t="s">
        <v>1541</v>
      </c>
    </row>
    <row r="6157" spans="1:1">
      <c r="A6157" s="22" t="s">
        <v>1542</v>
      </c>
    </row>
    <row r="6159" spans="1:1">
      <c r="A6159" s="22" t="s">
        <v>1543</v>
      </c>
    </row>
    <row r="6161" spans="1:1">
      <c r="A6161" s="22" t="s">
        <v>1544</v>
      </c>
    </row>
    <row r="6163" spans="1:1">
      <c r="A6163" s="22" t="s">
        <v>973</v>
      </c>
    </row>
    <row r="6165" spans="1:1">
      <c r="A6165" s="22" t="s">
        <v>974</v>
      </c>
    </row>
    <row r="6167" spans="1:1">
      <c r="A6167" s="22" t="s">
        <v>975</v>
      </c>
    </row>
    <row r="6169" spans="1:1">
      <c r="A6169" s="22" t="s">
        <v>133</v>
      </c>
    </row>
    <row r="6170" spans="1:1">
      <c r="A6170" s="22" t="s">
        <v>131</v>
      </c>
    </row>
    <row r="6171" spans="1:1">
      <c r="A6171" s="22" t="s">
        <v>389</v>
      </c>
    </row>
    <row r="6173" spans="1:1">
      <c r="A6173" s="19" t="s">
        <v>1545</v>
      </c>
    </row>
    <row r="6175" spans="1:1">
      <c r="A6175" s="19" t="s">
        <v>959</v>
      </c>
    </row>
    <row r="6177" spans="1:2">
      <c r="A6177" s="22" t="s">
        <v>1546</v>
      </c>
    </row>
    <row r="6179" spans="1:2">
      <c r="A6179" s="22" t="s">
        <v>133</v>
      </c>
    </row>
    <row r="6180" spans="1:2">
      <c r="A6180" s="22" t="s">
        <v>131</v>
      </c>
    </row>
    <row r="6181" spans="1:2">
      <c r="A6181" s="22" t="s">
        <v>389</v>
      </c>
    </row>
    <row r="6183" spans="1:2">
      <c r="A6183" s="32" t="s">
        <v>995</v>
      </c>
      <c r="B6183" s="32" t="s">
        <v>996</v>
      </c>
    </row>
    <row r="6184" spans="1:2">
      <c r="A6184" s="32"/>
      <c r="B6184" s="32"/>
    </row>
    <row r="6186" spans="1:2">
      <c r="A6186" s="19" t="s">
        <v>999</v>
      </c>
    </row>
    <row r="6188" spans="1:2">
      <c r="A6188" s="19" t="s">
        <v>1000</v>
      </c>
    </row>
    <row r="6190" spans="1:2">
      <c r="A6190" s="19" t="s">
        <v>1001</v>
      </c>
    </row>
    <row r="6192" spans="1:2">
      <c r="A6192" s="19" t="s">
        <v>134</v>
      </c>
    </row>
    <row r="6193" spans="1:1">
      <c r="A6193" s="22" t="s">
        <v>1002</v>
      </c>
    </row>
    <row r="6195" spans="1:1">
      <c r="A6195" s="19" t="s">
        <v>1003</v>
      </c>
    </row>
    <row r="6197" spans="1:1">
      <c r="A6197" s="22" t="s">
        <v>1547</v>
      </c>
    </row>
    <row r="6199" spans="1:1">
      <c r="A6199" s="22" t="s">
        <v>1548</v>
      </c>
    </row>
    <row r="6201" spans="1:1">
      <c r="A6201" s="22" t="s">
        <v>1547</v>
      </c>
    </row>
    <row r="6203" spans="1:1">
      <c r="A6203" s="19" t="s">
        <v>1006</v>
      </c>
    </row>
    <row r="6204" spans="1:1">
      <c r="A6204" s="19" t="s">
        <v>135</v>
      </c>
    </row>
    <row r="6205" spans="1:1">
      <c r="A6205" s="19" t="s">
        <v>1007</v>
      </c>
    </row>
    <row r="6207" spans="1:1">
      <c r="A6207" s="23" t="s">
        <v>1549</v>
      </c>
    </row>
    <row r="6209" spans="1:1">
      <c r="A6209" s="22" t="s">
        <v>1009</v>
      </c>
    </row>
    <row r="6211" spans="1:1">
      <c r="A6211" s="19" t="s">
        <v>1010</v>
      </c>
    </row>
  </sheetData>
  <mergeCells count="4">
    <mergeCell ref="A6028:A6029"/>
    <mergeCell ref="A6030:A6031"/>
    <mergeCell ref="A6183:A6184"/>
    <mergeCell ref="B6183:B6184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Mode d'emploi</vt:lpstr>
      <vt:lpstr>Synthèse</vt:lpstr>
      <vt:lpstr>Extraction</vt:lpstr>
      <vt:lpstr>Codes Barre</vt:lpstr>
      <vt:lpstr>Synthèse Codes Barre</vt:lpstr>
      <vt:lpstr>Couleurs</vt:lpstr>
      <vt:lpstr>Feuil1</vt:lpstr>
      <vt:lpstr>TST TLS</vt:lpstr>
      <vt:lpstr>TST BLA</vt:lpstr>
    </vt:vector>
  </TitlesOfParts>
  <Company>Air France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Lestang</dc:creator>
  <cp:lastModifiedBy>Jean Lestang</cp:lastModifiedBy>
  <cp:lastPrinted>2018-01-31T21:44:51Z</cp:lastPrinted>
  <dcterms:created xsi:type="dcterms:W3CDTF">2018-01-09T17:37:59Z</dcterms:created>
  <dcterms:modified xsi:type="dcterms:W3CDTF">2018-01-31T21:46:24Z</dcterms:modified>
</cp:coreProperties>
</file>